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_dsmps\USB_PD_RefDesign\firmware\project\support\"/>
    </mc:Choice>
  </mc:AlternateContent>
  <xr:revisionPtr revIDLastSave="0" documentId="13_ncr:1_{31A26C66-7BB2-487C-898C-16C4CF36DF6A}" xr6:coauthVersionLast="43" xr6:coauthVersionMax="43" xr10:uidLastSave="{00000000-0000-0000-0000-000000000000}"/>
  <bookViews>
    <workbookView xWindow="-120" yWindow="-120" windowWidth="29040" windowHeight="15990" tabRatio="463" xr2:uid="{00000000-000D-0000-FFFF-FFFF00000000}"/>
  </bookViews>
  <sheets>
    <sheet name="dsPIC33CKxxMP505" sheetId="6" r:id="rId1"/>
    <sheet name="Default Labels" sheetId="7" r:id="rId2"/>
    <sheet name="Settings" sheetId="5" r:id="rId3"/>
  </sheets>
  <functionGroups builtInGroupCount="19"/>
  <definedNames>
    <definedName name="_xlnm._FilterDatabase" localSheetId="0" hidden="1">dsPIC33CKxxMP505!$A$8:$V$56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5" i="6" l="1"/>
  <c r="G16" i="6"/>
  <c r="G17" i="6"/>
  <c r="G18" i="6"/>
  <c r="L49" i="6" l="1"/>
  <c r="L48" i="6"/>
  <c r="L34" i="6"/>
  <c r="L28" i="6"/>
  <c r="L18" i="6"/>
  <c r="L17" i="6"/>
  <c r="L15" i="6"/>
  <c r="K18" i="6"/>
  <c r="J18" i="6"/>
  <c r="I18" i="6"/>
  <c r="K17" i="6"/>
  <c r="J17" i="6"/>
  <c r="I17" i="6"/>
  <c r="K34" i="6"/>
  <c r="J34" i="6"/>
  <c r="I34" i="6"/>
  <c r="G34" i="6"/>
  <c r="L33" i="6"/>
  <c r="K33" i="6"/>
  <c r="J33" i="6"/>
  <c r="I33" i="6"/>
  <c r="G33" i="6"/>
  <c r="K15" i="6"/>
  <c r="J15" i="6"/>
  <c r="I15" i="6"/>
  <c r="K48" i="6"/>
  <c r="J48" i="6"/>
  <c r="I48" i="6"/>
  <c r="H48" i="6"/>
  <c r="G48" i="6"/>
  <c r="K49" i="6"/>
  <c r="J49" i="6"/>
  <c r="I49" i="6"/>
  <c r="H49" i="6"/>
  <c r="G49" i="6"/>
  <c r="K28" i="6"/>
  <c r="J28" i="6"/>
  <c r="I28" i="6"/>
  <c r="G28" i="6"/>
  <c r="G9" i="6"/>
  <c r="H9" i="6"/>
  <c r="I9" i="6"/>
  <c r="J9" i="6"/>
  <c r="K9" i="6"/>
  <c r="G10" i="6"/>
  <c r="H10" i="6"/>
  <c r="I10" i="6"/>
  <c r="J10" i="6"/>
  <c r="K10" i="6"/>
  <c r="G11" i="6"/>
  <c r="H11" i="6"/>
  <c r="I11" i="6"/>
  <c r="J11" i="6"/>
  <c r="K11" i="6"/>
  <c r="G12" i="6"/>
  <c r="H12" i="6"/>
  <c r="I12" i="6"/>
  <c r="J12" i="6"/>
  <c r="K12" i="6"/>
  <c r="G14" i="6"/>
  <c r="I14" i="6"/>
  <c r="J14" i="6"/>
  <c r="K14" i="6"/>
  <c r="I16" i="6"/>
  <c r="J16" i="6"/>
  <c r="K16" i="6"/>
  <c r="G19" i="6"/>
  <c r="I19" i="6"/>
  <c r="J19" i="6"/>
  <c r="K19" i="6"/>
  <c r="G20" i="6"/>
  <c r="I20" i="6"/>
  <c r="J20" i="6"/>
  <c r="K20" i="6"/>
  <c r="G23" i="6"/>
  <c r="I23" i="6"/>
  <c r="J23" i="6"/>
  <c r="K23" i="6"/>
  <c r="G24" i="6"/>
  <c r="I24" i="6"/>
  <c r="J24" i="6"/>
  <c r="K24" i="6"/>
  <c r="G25" i="6"/>
  <c r="I25" i="6"/>
  <c r="J25" i="6"/>
  <c r="K25" i="6"/>
  <c r="G29" i="6"/>
  <c r="I29" i="6"/>
  <c r="J29" i="6"/>
  <c r="K29" i="6"/>
  <c r="G30" i="6"/>
  <c r="I30" i="6"/>
  <c r="J30" i="6"/>
  <c r="K30" i="6"/>
  <c r="G31" i="6"/>
  <c r="I31" i="6"/>
  <c r="J31" i="6"/>
  <c r="K31" i="6"/>
  <c r="G32" i="6"/>
  <c r="I32" i="6"/>
  <c r="J32" i="6"/>
  <c r="K32" i="6"/>
  <c r="G35" i="6"/>
  <c r="H35" i="6"/>
  <c r="I35" i="6"/>
  <c r="J35" i="6"/>
  <c r="K35" i="6"/>
  <c r="G36" i="6"/>
  <c r="H36" i="6"/>
  <c r="I36" i="6"/>
  <c r="J36" i="6"/>
  <c r="K36" i="6"/>
  <c r="G37" i="6"/>
  <c r="H37" i="6"/>
  <c r="I37" i="6"/>
  <c r="J37" i="6"/>
  <c r="K37" i="6"/>
  <c r="G38" i="6"/>
  <c r="H38" i="6"/>
  <c r="I38" i="6"/>
  <c r="J38" i="6"/>
  <c r="K38" i="6"/>
  <c r="G41" i="6"/>
  <c r="H41" i="6"/>
  <c r="I41" i="6"/>
  <c r="J41" i="6"/>
  <c r="K41" i="6"/>
  <c r="G42" i="6"/>
  <c r="H42" i="6"/>
  <c r="I42" i="6"/>
  <c r="J42" i="6"/>
  <c r="K42" i="6"/>
  <c r="G43" i="6"/>
  <c r="I43" i="6"/>
  <c r="J43" i="6"/>
  <c r="K43" i="6"/>
  <c r="G44" i="6"/>
  <c r="I44" i="6"/>
  <c r="J44" i="6"/>
  <c r="K44" i="6"/>
  <c r="G45" i="6"/>
  <c r="I45" i="6"/>
  <c r="J45" i="6"/>
  <c r="K45" i="6"/>
  <c r="G46" i="6"/>
  <c r="H46" i="6"/>
  <c r="I46" i="6"/>
  <c r="J46" i="6"/>
  <c r="K46" i="6"/>
  <c r="G47" i="6"/>
  <c r="H47" i="6"/>
  <c r="I47" i="6"/>
  <c r="J47" i="6"/>
  <c r="K47" i="6"/>
  <c r="G52" i="6"/>
  <c r="H52" i="6"/>
  <c r="I52" i="6"/>
  <c r="J52" i="6"/>
  <c r="K52" i="6"/>
  <c r="G53" i="6"/>
  <c r="H53" i="6"/>
  <c r="I53" i="6"/>
  <c r="J53" i="6"/>
  <c r="K53" i="6"/>
  <c r="G54" i="6"/>
  <c r="H54" i="6"/>
  <c r="I54" i="6"/>
  <c r="J54" i="6"/>
  <c r="K54" i="6"/>
  <c r="G55" i="6"/>
  <c r="H55" i="6"/>
  <c r="I55" i="6"/>
  <c r="J55" i="6"/>
  <c r="K55" i="6"/>
  <c r="G56" i="6"/>
  <c r="H56" i="6"/>
  <c r="I56" i="6"/>
  <c r="J56" i="6"/>
  <c r="K56" i="6"/>
  <c r="L56" i="6" l="1"/>
  <c r="L55" i="6"/>
  <c r="L54" i="6"/>
  <c r="L53" i="6"/>
  <c r="L52" i="6"/>
  <c r="L47" i="6"/>
  <c r="L46" i="6"/>
  <c r="L45" i="6"/>
  <c r="L44" i="6"/>
  <c r="L43" i="6"/>
  <c r="L42" i="6"/>
  <c r="L41" i="6"/>
  <c r="L38" i="6"/>
  <c r="L37" i="6"/>
  <c r="L36" i="6"/>
  <c r="L35" i="6"/>
  <c r="L32" i="6"/>
  <c r="L31" i="6"/>
  <c r="L30" i="6"/>
  <c r="L29" i="6"/>
  <c r="L25" i="6"/>
  <c r="L24" i="6"/>
  <c r="L23" i="6"/>
  <c r="L20" i="6"/>
  <c r="L19" i="6"/>
  <c r="L16" i="6"/>
  <c r="L14" i="6"/>
  <c r="L12" i="6"/>
  <c r="L11" i="6"/>
  <c r="L10" i="6"/>
  <c r="L9" i="6"/>
  <c r="B5" i="6"/>
</calcChain>
</file>

<file path=xl/sharedStrings.xml><?xml version="1.0" encoding="utf-8"?>
<sst xmlns="http://schemas.openxmlformats.org/spreadsheetml/2006/main" count="343" uniqueCount="267">
  <si>
    <t>MCLR</t>
  </si>
  <si>
    <t>VSS</t>
  </si>
  <si>
    <t>VDD</t>
  </si>
  <si>
    <t>RD13</t>
  </si>
  <si>
    <t>AVDD</t>
  </si>
  <si>
    <t>Pin#</t>
  </si>
  <si>
    <t>Port#</t>
  </si>
  <si>
    <t>RB14</t>
  </si>
  <si>
    <t>RB15</t>
  </si>
  <si>
    <t>RC12</t>
  </si>
  <si>
    <t>RC13</t>
  </si>
  <si>
    <t>RC0</t>
  </si>
  <si>
    <t>RA0</t>
  </si>
  <si>
    <t>RA1</t>
  </si>
  <si>
    <t>RA2</t>
  </si>
  <si>
    <t>RA3</t>
  </si>
  <si>
    <t>RA4</t>
  </si>
  <si>
    <t>RC1</t>
  </si>
  <si>
    <t>RC2</t>
  </si>
  <si>
    <t>RC6</t>
  </si>
  <si>
    <t>RC3</t>
  </si>
  <si>
    <t>RB0</t>
  </si>
  <si>
    <t>RB1</t>
  </si>
  <si>
    <t>RD10</t>
  </si>
  <si>
    <t>RC7</t>
  </si>
  <si>
    <t>RB2</t>
  </si>
  <si>
    <t>RB3</t>
  </si>
  <si>
    <t>RB4</t>
  </si>
  <si>
    <t>RC8</t>
  </si>
  <si>
    <t>RC9</t>
  </si>
  <si>
    <t>RD8</t>
  </si>
  <si>
    <t>RB5</t>
  </si>
  <si>
    <t>RB6</t>
  </si>
  <si>
    <t>RB7</t>
  </si>
  <si>
    <t>RB8</t>
  </si>
  <si>
    <t>RB9</t>
  </si>
  <si>
    <t>RC4</t>
  </si>
  <si>
    <t>RC5</t>
  </si>
  <si>
    <t>RC10</t>
  </si>
  <si>
    <t>RC11</t>
  </si>
  <si>
    <t>RD1</t>
  </si>
  <si>
    <t>RB10</t>
  </si>
  <si>
    <t>RB11</t>
  </si>
  <si>
    <t>RB12</t>
  </si>
  <si>
    <t>RB13</t>
  </si>
  <si>
    <t>RP-Pin#</t>
  </si>
  <si>
    <t>RP46</t>
  </si>
  <si>
    <t>PWM1H</t>
  </si>
  <si>
    <t>RP47</t>
  </si>
  <si>
    <t>RP60</t>
  </si>
  <si>
    <t>AN2</t>
  </si>
  <si>
    <t>RP54</t>
  </si>
  <si>
    <t>PWM1L</t>
  </si>
  <si>
    <t>PWM4H</t>
  </si>
  <si>
    <t>RP61</t>
  </si>
  <si>
    <t>RP49</t>
  </si>
  <si>
    <t>RP50</t>
  </si>
  <si>
    <t>RP32</t>
  </si>
  <si>
    <t>RP33</t>
  </si>
  <si>
    <t>RP55</t>
  </si>
  <si>
    <t>RP36</t>
  </si>
  <si>
    <t>AN#</t>
  </si>
  <si>
    <t>ADC-CORE#</t>
  </si>
  <si>
    <t>MASTER CORE</t>
  </si>
  <si>
    <t>SLAVE CORE</t>
  </si>
  <si>
    <t>COMMON</t>
  </si>
  <si>
    <t>AN10</t>
  </si>
  <si>
    <t>AN0</t>
  </si>
  <si>
    <t>AN14</t>
  </si>
  <si>
    <t>AN11</t>
  </si>
  <si>
    <t>AN5</t>
  </si>
  <si>
    <t>AN4</t>
  </si>
  <si>
    <t>AN13</t>
  </si>
  <si>
    <t>PGC2</t>
  </si>
  <si>
    <t>RP56</t>
  </si>
  <si>
    <t>RP57</t>
  </si>
  <si>
    <t>AN3</t>
  </si>
  <si>
    <t>CMP1B</t>
  </si>
  <si>
    <t>SPECIAL FUNCTION</t>
  </si>
  <si>
    <t>ASDA1/SCK2</t>
  </si>
  <si>
    <t>ASCL1/SDI2</t>
  </si>
  <si>
    <t>AN6</t>
  </si>
  <si>
    <t>PGD3</t>
  </si>
  <si>
    <t>PGC3</t>
  </si>
  <si>
    <t>PGD1</t>
  </si>
  <si>
    <t>PGC1</t>
  </si>
  <si>
    <t>RP52</t>
  </si>
  <si>
    <t>RP53</t>
  </si>
  <si>
    <t>SDO2/PCI19</t>
  </si>
  <si>
    <t>RP37</t>
  </si>
  <si>
    <t>RP38</t>
  </si>
  <si>
    <t>RP39</t>
  </si>
  <si>
    <t>RP40</t>
  </si>
  <si>
    <t>RP41</t>
  </si>
  <si>
    <t>RP65</t>
  </si>
  <si>
    <t>RP42</t>
  </si>
  <si>
    <t>RP43</t>
  </si>
  <si>
    <t>RP44</t>
  </si>
  <si>
    <t>RP45</t>
  </si>
  <si>
    <t>PWM2L</t>
  </si>
  <si>
    <t>ACMP#</t>
  </si>
  <si>
    <t>PWM#</t>
  </si>
  <si>
    <t>PWM3H</t>
  </si>
  <si>
    <t>PWM2H</t>
  </si>
  <si>
    <t>PGx#</t>
  </si>
  <si>
    <t>SCL1</t>
  </si>
  <si>
    <t>SDA1</t>
  </si>
  <si>
    <t>SCL2</t>
  </si>
  <si>
    <t>ACTIVE FUNCTION ASSIGNMENT</t>
  </si>
  <si>
    <t>CORE ASSIGNMENTS</t>
  </si>
  <si>
    <t>MSTR</t>
  </si>
  <si>
    <t>SLV1</t>
  </si>
  <si>
    <t>CORE</t>
  </si>
  <si>
    <t>NONE</t>
  </si>
  <si>
    <t>CORE ASSIGNMENT</t>
  </si>
  <si>
    <t>ID#</t>
  </si>
  <si>
    <t>PWM3L</t>
  </si>
  <si>
    <t>BOARD NAME:</t>
  </si>
  <si>
    <t>CONTRIBUTOR</t>
  </si>
  <si>
    <t>Build:</t>
  </si>
  <si>
    <t>Label</t>
  </si>
  <si>
    <t>Default Value</t>
  </si>
  <si>
    <t>LED_ON</t>
  </si>
  <si>
    <t>LED_OFF</t>
  </si>
  <si>
    <t>CORE TYPE:</t>
  </si>
  <si>
    <t>CORE_TYPES</t>
  </si>
  <si>
    <t>SINGLE CORE</t>
  </si>
  <si>
    <t>DUAL CORE</t>
  </si>
  <si>
    <t>SIGNAL LABEL</t>
  </si>
  <si>
    <t>HW VERSION:</t>
  </si>
  <si>
    <t>ANN2/RP77/RD13</t>
  </si>
  <si>
    <t>AN12/ANN0/RP48/RC0</t>
  </si>
  <si>
    <t>OA1OUT/AN0/CMP1A/IBIAS0/RA0</t>
  </si>
  <si>
    <t>OA1IN-/ANA1/RA1</t>
  </si>
  <si>
    <t>DACOUT1/AN3/CMP1C/RA3</t>
  </si>
  <si>
    <t>OA3OUT/AN4/CMP3B/IBIAS3/RA4</t>
  </si>
  <si>
    <t>OA2OUT/AN1/AN7/ANA0/CMP1D/CMP2D/CMP3D/RP34/SCL3/INT0/RB2</t>
  </si>
  <si>
    <t>PGD2/OA2IN-/AN8/RP35/RB3</t>
  </si>
  <si>
    <t>PGC2/OA2IN+/RP36/RB4</t>
  </si>
  <si>
    <t>RP56/ASDA1/SCK2/RC8</t>
  </si>
  <si>
    <t>RP57/ASCL1/SDI2/RC9</t>
  </si>
  <si>
    <t>RP72/SDO2/PCI19/RD8</t>
  </si>
  <si>
    <t>TDO/AN2/CMP3A/RP39/SDA3/RB7</t>
  </si>
  <si>
    <t>PGD1/AN10/RP40/SCL1/RB8</t>
  </si>
  <si>
    <t>PGC1/AN11/RP41/SDA1/RB9</t>
  </si>
  <si>
    <t>RP52/PWM5H/ASDA2/RC4</t>
  </si>
  <si>
    <t>RP59/PWM7L/RC11</t>
  </si>
  <si>
    <t>RP65/PWM4H/RD1</t>
  </si>
  <si>
    <t>MASTER/SINGLE IMPORT</t>
  </si>
  <si>
    <t>SLAVE IMPORT</t>
  </si>
  <si>
    <t>PWM8H</t>
  </si>
  <si>
    <t>PWM8L</t>
  </si>
  <si>
    <t>PWM6H</t>
  </si>
  <si>
    <t>PWM6L</t>
  </si>
  <si>
    <t>ANN2</t>
  </si>
  <si>
    <t>RP77</t>
  </si>
  <si>
    <t>CMP1A</t>
  </si>
  <si>
    <t>OA1OUT/IBIAS0</t>
  </si>
  <si>
    <t>DACOUT1</t>
  </si>
  <si>
    <t>CMP1C</t>
  </si>
  <si>
    <t>CMP3B</t>
  </si>
  <si>
    <t>OA3OUT/IBIAS3</t>
  </si>
  <si>
    <t>CMP2B</t>
  </si>
  <si>
    <t>ANN1</t>
  </si>
  <si>
    <t>AN18</t>
  </si>
  <si>
    <t>CMP3C</t>
  </si>
  <si>
    <t>RP74</t>
  </si>
  <si>
    <t>AN16</t>
  </si>
  <si>
    <t>OA2IN+</t>
  </si>
  <si>
    <t>RP72</t>
  </si>
  <si>
    <t>CMP3A</t>
  </si>
  <si>
    <t>TDO/SDA3</t>
  </si>
  <si>
    <t>PWM5H</t>
  </si>
  <si>
    <t>ASDA2</t>
  </si>
  <si>
    <t>PWM5L</t>
  </si>
  <si>
    <t>RP46/PWM1H/RB14</t>
  </si>
  <si>
    <t>RP47/PWM1L/RB15</t>
  </si>
  <si>
    <t>RP60/PWM8H/RC12</t>
  </si>
  <si>
    <t>RP61/PWM8L/RC13</t>
  </si>
  <si>
    <t>OA1IN+/AN9/RA2</t>
  </si>
  <si>
    <t>AVSS</t>
  </si>
  <si>
    <t>OA3IN-/AN13/CMP1B/ISRC0/RP49/RC1</t>
  </si>
  <si>
    <t>OA3IN+/AN14/CMP2B/ISRC1/RP50/RC2</t>
  </si>
  <si>
    <t>AN17/ANN1/IBIAS1/RP54/RC6</t>
  </si>
  <si>
    <t>AN15/CMP2A/IBIAS2/RP51/RC3</t>
  </si>
  <si>
    <t>OSCI/CLKI/AN5/RP32/RB0</t>
  </si>
  <si>
    <t>OSCO/CLKO/AN6/RP33/RB1(3)</t>
  </si>
  <si>
    <t>AN18/CMP3C/ISRC3/RP74/RD10</t>
  </si>
  <si>
    <t>AN16/ISRC2/RP55/RC7</t>
  </si>
  <si>
    <t>PGD3/RP37/PWM6L/SDA2/RB5</t>
  </si>
  <si>
    <t>PGC3/RP38/PWM6H/SCL2/RB6</t>
  </si>
  <si>
    <t>RP53/PWM5L/ASCL2/RC5</t>
  </si>
  <si>
    <t>RP58/PWM7H/RC10</t>
  </si>
  <si>
    <t>TMS/RP42/PWM3H/RB10(2)</t>
  </si>
  <si>
    <t>TCK/RP43/PWM3L/RB11</t>
  </si>
  <si>
    <t>TDI/RP44/PWM2H/RB12</t>
  </si>
  <si>
    <t>RP45/PWM2L/RB13</t>
  </si>
  <si>
    <t>OA3IN-/ISRC0</t>
  </si>
  <si>
    <t>OA3IN+/ISRC1</t>
  </si>
  <si>
    <t>IBIAS1</t>
  </si>
  <si>
    <t>OSCI/CLKI</t>
  </si>
  <si>
    <t>OSCO/CLKO</t>
  </si>
  <si>
    <t>ISRC3</t>
  </si>
  <si>
    <t>ISRC2</t>
  </si>
  <si>
    <t>SDA2</t>
  </si>
  <si>
    <t>ASCL2</t>
  </si>
  <si>
    <t>TMS</t>
  </si>
  <si>
    <t>TCK</t>
  </si>
  <si>
    <t>TDI</t>
  </si>
  <si>
    <t>ANA1</t>
  </si>
  <si>
    <t>ANN0</t>
  </si>
  <si>
    <t>RP48</t>
  </si>
  <si>
    <t>OA1IN-</t>
  </si>
  <si>
    <t>OA1IN+</t>
  </si>
  <si>
    <t>AN9</t>
  </si>
  <si>
    <t>AN15</t>
  </si>
  <si>
    <t>CMP2A</t>
  </si>
  <si>
    <t>IBIAS2</t>
  </si>
  <si>
    <t>RP51</t>
  </si>
  <si>
    <t>ANA0</t>
  </si>
  <si>
    <t>CMP3D</t>
  </si>
  <si>
    <t>RP34</t>
  </si>
  <si>
    <t>OA2OUT/SCL3/INT0</t>
  </si>
  <si>
    <t>PGD2</t>
  </si>
  <si>
    <t>OA2IN-</t>
  </si>
  <si>
    <t>AN8</t>
  </si>
  <si>
    <t>RP35</t>
  </si>
  <si>
    <t>RP58</t>
  </si>
  <si>
    <t>PWM7H</t>
  </si>
  <si>
    <t>RP59</t>
  </si>
  <si>
    <t>PWM7L</t>
  </si>
  <si>
    <t>FB_IIN2</t>
  </si>
  <si>
    <t>PPC_RST2</t>
  </si>
  <si>
    <t>FB_IOUT2</t>
  </si>
  <si>
    <t>TESTPOINT</t>
  </si>
  <si>
    <t>VOUT2</t>
  </si>
  <si>
    <t>FB_VBAT</t>
  </si>
  <si>
    <t>FB_TEMP1</t>
  </si>
  <si>
    <t>FB_IIN1</t>
  </si>
  <si>
    <t>PGED</t>
  </si>
  <si>
    <t>PGEC</t>
  </si>
  <si>
    <t>SPI_CS1</t>
  </si>
  <si>
    <t>PPC_RST1</t>
  </si>
  <si>
    <t>HUB_PRTPWR1</t>
  </si>
  <si>
    <t>BOOSTH2</t>
  </si>
  <si>
    <t>POOSTL2</t>
  </si>
  <si>
    <t>BUCKH2</t>
  </si>
  <si>
    <t>BUCKL2</t>
  </si>
  <si>
    <t>PPC_IRQ2</t>
  </si>
  <si>
    <t>UART_TX</t>
  </si>
  <si>
    <t>UART_RX</t>
  </si>
  <si>
    <t>LED_AUX_CTRL</t>
  </si>
  <si>
    <t>BUCKH1</t>
  </si>
  <si>
    <t>BUCKL1</t>
  </si>
  <si>
    <t>FB_TEMP2</t>
  </si>
  <si>
    <t>FB_VOUT1</t>
  </si>
  <si>
    <t>SPI_CLK</t>
  </si>
  <si>
    <t>SPI_MISO</t>
  </si>
  <si>
    <t>BOOSTH1</t>
  </si>
  <si>
    <t>BOOSTL1</t>
  </si>
  <si>
    <t>HUB_RST</t>
  </si>
  <si>
    <t>HUB_PRTPWR2</t>
  </si>
  <si>
    <t>PPC_IRQ1</t>
  </si>
  <si>
    <t>SPI_MOSI</t>
  </si>
  <si>
    <t>FB_IOUT1</t>
  </si>
  <si>
    <t>SPI_CS2</t>
  </si>
  <si>
    <t>00173_USB_PD_BoB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</si>
</sst>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000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2"/>
      <color rgb="FF000000"/>
      <name val="Calibri"/>
      <family val="2"/>
    </font>
  </fonts>
  <fills count="4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darkGrid">
        <fgColor theme="0" tint="-0.34998626667073579"/>
        <bgColor indexed="65"/>
      </patternFill>
    </fill>
    <fill>
      <patternFill patternType="darkGrid">
        <fgColor theme="0" tint="-0.34998626667073579"/>
        <bgColor theme="0" tint="-4.9989318521683403E-2"/>
      </patternFill>
    </fill>
    <fill>
      <patternFill patternType="darkGrid">
        <fgColor theme="0" tint="-0.34998626667073579"/>
        <bgColor theme="8" tint="0.79998168889431442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</fills>
  <borders count="3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2">
    <xf numFmtId="0" fontId="0" fillId="0" borderId="0" xfId="0"/>
    <xf numFmtId="0" fontId="0" fillId="34" borderId="17" xfId="0" applyFill="1" applyBorder="1" applyAlignment="1">
      <alignment vertical="top"/>
    </xf>
    <xf numFmtId="0" fontId="0" fillId="34" borderId="10" xfId="0" applyFill="1" applyBorder="1" applyAlignment="1">
      <alignment vertical="top"/>
    </xf>
    <xf numFmtId="0" fontId="0" fillId="34" borderId="11" xfId="0" applyFill="1" applyBorder="1" applyAlignment="1">
      <alignment vertical="top"/>
    </xf>
    <xf numFmtId="0" fontId="0" fillId="34" borderId="18" xfId="0" applyFill="1" applyBorder="1" applyAlignment="1">
      <alignment vertical="top"/>
    </xf>
    <xf numFmtId="0" fontId="0" fillId="0" borderId="17" xfId="0" applyFill="1" applyBorder="1" applyAlignment="1">
      <alignment vertical="top" wrapText="1"/>
    </xf>
    <xf numFmtId="0" fontId="0" fillId="0" borderId="10" xfId="0" applyFill="1" applyBorder="1" applyAlignment="1">
      <alignment vertical="top" wrapText="1"/>
    </xf>
    <xf numFmtId="0" fontId="0" fillId="0" borderId="10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0" fontId="0" fillId="0" borderId="17" xfId="0" applyBorder="1" applyAlignment="1">
      <alignment vertical="top" wrapText="1"/>
    </xf>
    <xf numFmtId="0" fontId="0" fillId="34" borderId="19" xfId="0" applyFill="1" applyBorder="1" applyAlignment="1">
      <alignment vertical="top"/>
    </xf>
    <xf numFmtId="0" fontId="0" fillId="34" borderId="20" xfId="0" applyFill="1" applyBorder="1" applyAlignment="1">
      <alignment vertical="top"/>
    </xf>
    <xf numFmtId="0" fontId="0" fillId="0" borderId="10" xfId="0" applyBorder="1"/>
    <xf numFmtId="0" fontId="0" fillId="39" borderId="10" xfId="0" applyFill="1" applyBorder="1"/>
    <xf numFmtId="0" fontId="0" fillId="0" borderId="18" xfId="0" applyFill="1" applyBorder="1" applyAlignment="1">
      <alignment vertical="top" wrapText="1"/>
    </xf>
    <xf numFmtId="0" fontId="16" fillId="37" borderId="24" xfId="0" applyFont="1" applyFill="1" applyBorder="1" applyAlignment="1">
      <alignment horizontal="center"/>
    </xf>
    <xf numFmtId="0" fontId="0" fillId="40" borderId="17" xfId="0" applyFill="1" applyBorder="1" applyAlignment="1">
      <alignment vertical="top" wrapText="1"/>
    </xf>
    <xf numFmtId="0" fontId="0" fillId="41" borderId="11" xfId="0" applyFill="1" applyBorder="1" applyAlignment="1">
      <alignment vertical="top"/>
    </xf>
    <xf numFmtId="0" fontId="0" fillId="41" borderId="25" xfId="0" applyFill="1" applyBorder="1" applyAlignment="1">
      <alignment vertical="top"/>
    </xf>
    <xf numFmtId="0" fontId="0" fillId="40" borderId="10" xfId="0" applyFill="1" applyBorder="1" applyAlignment="1">
      <alignment vertical="top" wrapText="1"/>
    </xf>
    <xf numFmtId="0" fontId="0" fillId="40" borderId="18" xfId="0" applyFill="1" applyBorder="1" applyAlignment="1">
      <alignment vertical="top" wrapText="1"/>
    </xf>
    <xf numFmtId="0" fontId="0" fillId="41" borderId="18" xfId="0" applyFill="1" applyBorder="1" applyAlignment="1">
      <alignment vertical="top"/>
    </xf>
    <xf numFmtId="0" fontId="0" fillId="42" borderId="25" xfId="0" applyFill="1" applyBorder="1" applyAlignment="1">
      <alignment vertical="top"/>
    </xf>
    <xf numFmtId="0" fontId="0" fillId="33" borderId="0" xfId="0" applyFill="1"/>
    <xf numFmtId="0" fontId="17" fillId="33" borderId="0" xfId="0" applyFont="1" applyFill="1"/>
    <xf numFmtId="0" fontId="0" fillId="44" borderId="25" xfId="0" applyFill="1" applyBorder="1" applyAlignment="1" applyProtection="1">
      <alignment vertical="top"/>
      <protection locked="0"/>
    </xf>
    <xf numFmtId="0" fontId="0" fillId="36" borderId="25" xfId="0" applyFill="1" applyBorder="1" applyAlignment="1" applyProtection="1">
      <alignment vertical="top"/>
      <protection locked="0"/>
    </xf>
    <xf numFmtId="0" fontId="0" fillId="33" borderId="0" xfId="0" applyFill="1" applyProtection="1"/>
    <xf numFmtId="0" fontId="16" fillId="39" borderId="24" xfId="0" applyFont="1" applyFill="1" applyBorder="1" applyAlignment="1" applyProtection="1">
      <alignment horizontal="center"/>
    </xf>
    <xf numFmtId="0" fontId="13" fillId="33" borderId="25" xfId="0" applyFont="1" applyFill="1" applyBorder="1" applyAlignment="1" applyProtection="1">
      <alignment horizontal="center"/>
    </xf>
    <xf numFmtId="0" fontId="0" fillId="40" borderId="25" xfId="0" applyFill="1" applyBorder="1" applyAlignment="1" applyProtection="1">
      <alignment horizontal="center" vertical="top" wrapText="1"/>
    </xf>
    <xf numFmtId="0" fontId="0" fillId="0" borderId="25" xfId="0" applyFill="1" applyBorder="1" applyAlignment="1" applyProtection="1">
      <alignment horizontal="center" vertical="top" wrapText="1"/>
    </xf>
    <xf numFmtId="0" fontId="0" fillId="0" borderId="0" xfId="0" applyProtection="1"/>
    <xf numFmtId="0" fontId="17" fillId="33" borderId="28" xfId="0" applyFont="1" applyFill="1" applyBorder="1" applyAlignment="1"/>
    <xf numFmtId="0" fontId="17" fillId="33" borderId="28" xfId="0" applyFont="1" applyFill="1" applyBorder="1" applyAlignment="1">
      <alignment horizontal="right"/>
    </xf>
    <xf numFmtId="0" fontId="13" fillId="33" borderId="0" xfId="0" applyFont="1" applyFill="1"/>
    <xf numFmtId="0" fontId="0" fillId="0" borderId="10" xfId="0" applyBorder="1" applyProtection="1">
      <protection locked="0"/>
    </xf>
    <xf numFmtId="164" fontId="17" fillId="33" borderId="28" xfId="0" applyNumberFormat="1" applyFont="1" applyFill="1" applyBorder="1" applyAlignment="1">
      <alignment horizontal="left"/>
    </xf>
    <xf numFmtId="0" fontId="13" fillId="33" borderId="15" xfId="0" applyFont="1" applyFill="1" applyBorder="1" applyProtection="1"/>
    <xf numFmtId="0" fontId="13" fillId="33" borderId="0" xfId="0" applyFont="1" applyFill="1" applyBorder="1" applyProtection="1"/>
    <xf numFmtId="0" fontId="13" fillId="33" borderId="16" xfId="0" applyFont="1" applyFill="1" applyBorder="1" applyProtection="1"/>
    <xf numFmtId="0" fontId="13" fillId="33" borderId="25" xfId="0" applyFont="1" applyFill="1" applyBorder="1" applyProtection="1"/>
    <xf numFmtId="0" fontId="13" fillId="33" borderId="17" xfId="0" applyFont="1" applyFill="1" applyBorder="1" applyProtection="1"/>
    <xf numFmtId="0" fontId="13" fillId="33" borderId="10" xfId="0" applyFont="1" applyFill="1" applyBorder="1" applyProtection="1"/>
    <xf numFmtId="0" fontId="13" fillId="33" borderId="18" xfId="0" applyFont="1" applyFill="1" applyBorder="1" applyProtection="1"/>
    <xf numFmtId="0" fontId="0" fillId="34" borderId="29" xfId="0" applyFont="1" applyFill="1" applyBorder="1" applyAlignment="1" applyProtection="1">
      <alignment horizontal="center"/>
      <protection locked="0"/>
    </xf>
    <xf numFmtId="0" fontId="16" fillId="36" borderId="12" xfId="0" applyFont="1" applyFill="1" applyBorder="1" applyAlignment="1">
      <alignment horizontal="center"/>
    </xf>
    <xf numFmtId="0" fontId="16" fillId="36" borderId="13" xfId="0" applyFont="1" applyFill="1" applyBorder="1" applyAlignment="1">
      <alignment horizontal="center"/>
    </xf>
    <xf numFmtId="0" fontId="16" fillId="36" borderId="14" xfId="0" applyFont="1" applyFill="1" applyBorder="1" applyAlignment="1">
      <alignment horizontal="center"/>
    </xf>
    <xf numFmtId="0" fontId="16" fillId="39" borderId="21" xfId="0" applyFont="1" applyFill="1" applyBorder="1" applyAlignment="1">
      <alignment horizontal="center"/>
    </xf>
    <xf numFmtId="0" fontId="16" fillId="39" borderId="22" xfId="0" applyFont="1" applyFill="1" applyBorder="1" applyAlignment="1">
      <alignment horizontal="center"/>
    </xf>
    <xf numFmtId="0" fontId="16" fillId="39" borderId="23" xfId="0" applyFont="1" applyFill="1" applyBorder="1" applyAlignment="1">
      <alignment horizontal="center"/>
    </xf>
    <xf numFmtId="0" fontId="16" fillId="38" borderId="21" xfId="0" applyFont="1" applyFill="1" applyBorder="1" applyAlignment="1">
      <alignment horizontal="center"/>
    </xf>
    <xf numFmtId="0" fontId="16" fillId="38" borderId="22" xfId="0" applyFont="1" applyFill="1" applyBorder="1" applyAlignment="1">
      <alignment horizontal="center"/>
    </xf>
    <xf numFmtId="0" fontId="16" fillId="38" borderId="23" xfId="0" applyFont="1" applyFill="1" applyBorder="1" applyAlignment="1">
      <alignment horizontal="center"/>
    </xf>
    <xf numFmtId="0" fontId="16" fillId="35" borderId="21" xfId="0" applyFont="1" applyFill="1" applyBorder="1" applyAlignment="1">
      <alignment horizontal="center"/>
    </xf>
    <xf numFmtId="0" fontId="16" fillId="35" borderId="22" xfId="0" applyFont="1" applyFill="1" applyBorder="1" applyAlignment="1">
      <alignment horizontal="center"/>
    </xf>
    <xf numFmtId="0" fontId="16" fillId="35" borderId="23" xfId="0" applyFont="1" applyFill="1" applyBorder="1" applyAlignment="1">
      <alignment horizontal="center"/>
    </xf>
    <xf numFmtId="0" fontId="0" fillId="43" borderId="10" xfId="0" applyFill="1" applyBorder="1" applyAlignment="1" applyProtection="1">
      <alignment horizontal="center"/>
      <protection locked="0"/>
    </xf>
    <xf numFmtId="0" fontId="18" fillId="34" borderId="11" xfId="0" applyNumberFormat="1" applyFont="1" applyFill="1" applyBorder="1" applyAlignment="1" applyProtection="1">
      <alignment horizontal="center"/>
    </xf>
    <xf numFmtId="0" fontId="18" fillId="34" borderId="26" xfId="0" applyNumberFormat="1" applyFont="1" applyFill="1" applyBorder="1" applyAlignment="1" applyProtection="1">
      <alignment horizontal="center"/>
    </xf>
    <xf numFmtId="0" fontId="18" fillId="34" borderId="27" xfId="0" applyNumberFormat="1" applyFont="1" applyFill="1" applyBorder="1" applyAlignment="1" applyProtection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FFFFCC"/>
      <color rgb="FFFFA0A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285750</xdr:colOff>
          <xdr:row>0</xdr:row>
          <xdr:rowOff>161925</xdr:rowOff>
        </xdr:from>
        <xdr:to>
          <xdr:col>5</xdr:col>
          <xdr:colOff>495300</xdr:colOff>
          <xdr:row>5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Generate 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Header Code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66050-D26C-46F4-B6E3-FAD9658AE445}">
  <sheetPr codeName="Sheet2"/>
  <dimension ref="A1:X56"/>
  <sheetViews>
    <sheetView tabSelected="1" workbookViewId="0">
      <pane xSplit="4" ySplit="8" topLeftCell="E23" activePane="bottomRight" state="frozen"/>
      <selection pane="topRight" activeCell="D1" sqref="D1"/>
      <selection pane="bottomLeft" activeCell="A3" sqref="A3"/>
      <selection pane="bottomRight" activeCell="B2" sqref="B2:D2"/>
    </sheetView>
  </sheetViews>
  <sheetFormatPr defaultRowHeight="15" x14ac:dyDescent="0.25"/>
  <cols>
    <col min="1" max="1" width="13.85546875" bestFit="1" customWidth="1"/>
    <col min="2" max="4" width="11.42578125" customWidth="1"/>
    <col min="5" max="5" width="19.140625" bestFit="1" customWidth="1"/>
    <col min="6" max="6" width="19.42578125" bestFit="1" customWidth="1"/>
    <col min="7" max="10" width="14" customWidth="1"/>
    <col min="11" max="11" width="30.28515625" customWidth="1"/>
    <col min="12" max="12" width="9.42578125" style="32" customWidth="1"/>
    <col min="13" max="16" width="12.85546875" customWidth="1"/>
    <col min="17" max="17" width="33.42578125" customWidth="1"/>
    <col min="18" max="18" width="12.85546875" customWidth="1"/>
    <col min="19" max="19" width="13.85546875" customWidth="1"/>
    <col min="20" max="21" width="12.85546875" customWidth="1"/>
    <col min="22" max="22" width="29.5703125" customWidth="1"/>
    <col min="23" max="23" width="23.28515625" customWidth="1"/>
    <col min="24" max="24" width="23.5703125" customWidth="1"/>
  </cols>
  <sheetData>
    <row r="1" spans="1:24" s="23" customFormat="1" x14ac:dyDescent="0.25">
      <c r="L1" s="27"/>
    </row>
    <row r="2" spans="1:24" s="23" customFormat="1" x14ac:dyDescent="0.25">
      <c r="A2" s="24" t="s">
        <v>124</v>
      </c>
      <c r="B2" s="45" t="s">
        <v>126</v>
      </c>
      <c r="C2" s="45"/>
      <c r="D2" s="45"/>
      <c r="L2" s="27"/>
    </row>
    <row r="3" spans="1:24" s="23" customFormat="1" x14ac:dyDescent="0.25">
      <c r="A3" s="24" t="s">
        <v>117</v>
      </c>
      <c r="B3" s="58" t="s">
        <v>266</v>
      </c>
      <c r="C3" s="58"/>
      <c r="D3" s="58"/>
      <c r="L3" s="27"/>
    </row>
    <row r="4" spans="1:24" s="23" customFormat="1" x14ac:dyDescent="0.25">
      <c r="A4" s="24" t="s">
        <v>129</v>
      </c>
      <c r="B4" s="58">
        <v>20</v>
      </c>
      <c r="C4" s="58"/>
      <c r="D4" s="58"/>
      <c r="L4" s="27"/>
    </row>
    <row r="5" spans="1:24" s="23" customFormat="1" x14ac:dyDescent="0.25">
      <c r="A5" s="24" t="s">
        <v>118</v>
      </c>
      <c r="B5" s="59" t="str">
        <f>Username()</f>
        <v>M91406</v>
      </c>
      <c r="C5" s="60"/>
      <c r="D5" s="61"/>
      <c r="L5" s="27"/>
    </row>
    <row r="6" spans="1:24" s="23" customFormat="1" ht="15.75" thickBot="1" x14ac:dyDescent="0.3">
      <c r="B6" s="34" t="s">
        <v>119</v>
      </c>
      <c r="C6" s="37">
        <v>8</v>
      </c>
      <c r="D6" s="33"/>
      <c r="L6" s="27"/>
    </row>
    <row r="7" spans="1:24" x14ac:dyDescent="0.25">
      <c r="A7" s="46" t="s">
        <v>65</v>
      </c>
      <c r="B7" s="47"/>
      <c r="C7" s="47"/>
      <c r="D7" s="48"/>
      <c r="E7" s="15" t="s">
        <v>128</v>
      </c>
      <c r="F7" s="15" t="s">
        <v>114</v>
      </c>
      <c r="G7" s="49" t="s">
        <v>108</v>
      </c>
      <c r="H7" s="50"/>
      <c r="I7" s="50"/>
      <c r="J7" s="50"/>
      <c r="K7" s="51"/>
      <c r="L7" s="28" t="s">
        <v>112</v>
      </c>
      <c r="M7" s="52" t="s">
        <v>63</v>
      </c>
      <c r="N7" s="53"/>
      <c r="O7" s="53"/>
      <c r="P7" s="53"/>
      <c r="Q7" s="54"/>
      <c r="R7" s="55" t="s">
        <v>64</v>
      </c>
      <c r="S7" s="56"/>
      <c r="T7" s="56"/>
      <c r="U7" s="56"/>
      <c r="V7" s="57"/>
      <c r="W7" t="s">
        <v>148</v>
      </c>
      <c r="X7" t="s">
        <v>149</v>
      </c>
    </row>
    <row r="8" spans="1:24" s="32" customFormat="1" x14ac:dyDescent="0.25">
      <c r="A8" s="38" t="s">
        <v>5</v>
      </c>
      <c r="B8" s="39" t="s">
        <v>6</v>
      </c>
      <c r="C8" s="39" t="s">
        <v>104</v>
      </c>
      <c r="D8" s="40" t="s">
        <v>45</v>
      </c>
      <c r="E8" s="41" t="s">
        <v>5</v>
      </c>
      <c r="F8" s="41" t="s">
        <v>5</v>
      </c>
      <c r="G8" s="42" t="s">
        <v>61</v>
      </c>
      <c r="H8" s="43" t="s">
        <v>62</v>
      </c>
      <c r="I8" s="43" t="s">
        <v>100</v>
      </c>
      <c r="J8" s="43" t="s">
        <v>101</v>
      </c>
      <c r="K8" s="44" t="s">
        <v>78</v>
      </c>
      <c r="L8" s="29" t="s">
        <v>115</v>
      </c>
      <c r="M8" s="42" t="s">
        <v>61</v>
      </c>
      <c r="N8" s="43" t="s">
        <v>62</v>
      </c>
      <c r="O8" s="43" t="s">
        <v>100</v>
      </c>
      <c r="P8" s="43" t="s">
        <v>101</v>
      </c>
      <c r="Q8" s="44" t="s">
        <v>78</v>
      </c>
      <c r="R8" s="42" t="s">
        <v>61</v>
      </c>
      <c r="S8" s="43" t="s">
        <v>62</v>
      </c>
      <c r="T8" s="43" t="s">
        <v>100</v>
      </c>
      <c r="U8" s="43" t="s">
        <v>101</v>
      </c>
      <c r="V8" s="44" t="s">
        <v>78</v>
      </c>
    </row>
    <row r="9" spans="1:24" x14ac:dyDescent="0.25">
      <c r="A9" s="1">
        <v>1</v>
      </c>
      <c r="B9" s="2" t="s">
        <v>7</v>
      </c>
      <c r="C9" s="3"/>
      <c r="D9" s="4" t="s">
        <v>46</v>
      </c>
      <c r="E9" s="25" t="s">
        <v>246</v>
      </c>
      <c r="F9" s="26" t="s">
        <v>110</v>
      </c>
      <c r="G9" s="5" t="str">
        <f xml:space="preserve"> IF(IF(F9="MSTR", M9, R9) = 0, "", IF(F9="MSTR", M9, R9))</f>
        <v/>
      </c>
      <c r="H9" s="6" t="str">
        <f xml:space="preserve"> IF(IF(F9="MSTR", N9, S9) = 0, "", IF(F9="MSTR", N9, S9))</f>
        <v/>
      </c>
      <c r="I9" s="6" t="str">
        <f xml:space="preserve"> IF(IF(F9="MSTR", O9, T9) = 0, "", IF(F9="MSTR", O9, T9))</f>
        <v/>
      </c>
      <c r="J9" s="6" t="str">
        <f xml:space="preserve"> IF(IF(F9="MSTR", P9, U9) = 0, "", IF(F9="MSTR", P9, U9))</f>
        <v>PWM1H</v>
      </c>
      <c r="K9" s="14" t="str">
        <f xml:space="preserve"> IF(IF(F9="MSTR", Q9, V9) = 0, "", IF(F9="MSTR", Q9, V9))</f>
        <v/>
      </c>
      <c r="L9" s="31">
        <f xml:space="preserve"> IF(F9=Settings!$A$2, 1, IF(F9=Settings!$A$3, 2,  IF(F9=Settings!$A$4, 0, "")))</f>
        <v>1</v>
      </c>
      <c r="M9" s="5"/>
      <c r="N9" s="6"/>
      <c r="O9" s="6"/>
      <c r="P9" s="7" t="s">
        <v>47</v>
      </c>
      <c r="Q9" s="8"/>
      <c r="R9" s="9"/>
      <c r="S9" s="7"/>
      <c r="T9" s="7"/>
      <c r="U9" s="7"/>
      <c r="V9" s="8"/>
      <c r="W9" t="s">
        <v>175</v>
      </c>
    </row>
    <row r="10" spans="1:24" x14ac:dyDescent="0.25">
      <c r="A10" s="1">
        <v>2</v>
      </c>
      <c r="B10" s="2" t="s">
        <v>8</v>
      </c>
      <c r="C10" s="3"/>
      <c r="D10" s="4" t="s">
        <v>48</v>
      </c>
      <c r="E10" s="25" t="s">
        <v>247</v>
      </c>
      <c r="F10" s="26" t="s">
        <v>110</v>
      </c>
      <c r="G10" s="5" t="str">
        <f xml:space="preserve"> IF(IF(F10="MSTR", M10, R10) = 0, "", IF(F10="MSTR", M10, R10))</f>
        <v/>
      </c>
      <c r="H10" s="6" t="str">
        <f xml:space="preserve"> IF(IF(F10="MSTR", N10, S10) = 0, "", IF(F10="MSTR", N10, S10))</f>
        <v/>
      </c>
      <c r="I10" s="6" t="str">
        <f xml:space="preserve"> IF(IF(F10="MSTR", O10, T10) = 0, "", IF(F10="MSTR", O10, T10))</f>
        <v/>
      </c>
      <c r="J10" s="6" t="str">
        <f xml:space="preserve"> IF(IF(F10="MSTR", P10, U10) = 0, "", IF(F10="MSTR", P10, U10))</f>
        <v>PWM1L</v>
      </c>
      <c r="K10" s="14" t="str">
        <f xml:space="preserve"> IF(IF(F10="MSTR", Q10, V10) = 0, "", IF(F10="MSTR", Q10, V10))</f>
        <v/>
      </c>
      <c r="L10" s="31">
        <f xml:space="preserve"> IF(F10=Settings!$A$2, 1, IF(F10=Settings!$A$3, 2,  IF(F10=Settings!$A$4, 0, "")))</f>
        <v>1</v>
      </c>
      <c r="M10" s="5"/>
      <c r="N10" s="6"/>
      <c r="O10" s="6"/>
      <c r="P10" s="7" t="s">
        <v>52</v>
      </c>
      <c r="Q10" s="8"/>
      <c r="R10" s="9"/>
      <c r="S10" s="7"/>
      <c r="T10" s="7"/>
      <c r="U10" s="7"/>
      <c r="V10" s="8"/>
      <c r="W10" t="s">
        <v>176</v>
      </c>
    </row>
    <row r="11" spans="1:24" x14ac:dyDescent="0.25">
      <c r="A11" s="1">
        <v>3</v>
      </c>
      <c r="B11" s="2" t="s">
        <v>9</v>
      </c>
      <c r="C11" s="3"/>
      <c r="D11" s="4" t="s">
        <v>49</v>
      </c>
      <c r="E11" s="25" t="s">
        <v>260</v>
      </c>
      <c r="F11" s="26" t="s">
        <v>110</v>
      </c>
      <c r="G11" s="5" t="str">
        <f xml:space="preserve"> IF(IF(F11="MSTR", M11, R11) = 0, "", IF(F11="MSTR", M11, R11))</f>
        <v/>
      </c>
      <c r="H11" s="6" t="str">
        <f xml:space="preserve"> IF(IF(F11="MSTR", N11, S11) = 0, "", IF(F11="MSTR", N11, S11))</f>
        <v/>
      </c>
      <c r="I11" s="6" t="str">
        <f xml:space="preserve"> IF(IF(F11="MSTR", O11, T11) = 0, "", IF(F11="MSTR", O11, T11))</f>
        <v/>
      </c>
      <c r="J11" s="6" t="str">
        <f xml:space="preserve"> IF(IF(F11="MSTR", P11, U11) = 0, "", IF(F11="MSTR", P11, U11))</f>
        <v>PWM8H</v>
      </c>
      <c r="K11" s="14" t="str">
        <f xml:space="preserve"> IF(IF(F11="MSTR", Q11, V11) = 0, "", IF(F11="MSTR", Q11, V11))</f>
        <v/>
      </c>
      <c r="L11" s="31">
        <f xml:space="preserve"> IF(F11=Settings!$A$2, 1, IF(F11=Settings!$A$3, 2,  IF(F11=Settings!$A$4, 0, "")))</f>
        <v>1</v>
      </c>
      <c r="M11" s="5"/>
      <c r="N11" s="6"/>
      <c r="O11" s="6"/>
      <c r="P11" s="7" t="s">
        <v>150</v>
      </c>
      <c r="Q11" s="8"/>
      <c r="R11" s="9"/>
      <c r="S11" s="7"/>
      <c r="T11" s="7"/>
      <c r="U11" s="7"/>
      <c r="V11" s="8"/>
      <c r="W11" t="s">
        <v>177</v>
      </c>
    </row>
    <row r="12" spans="1:24" x14ac:dyDescent="0.25">
      <c r="A12" s="1">
        <v>4</v>
      </c>
      <c r="B12" s="2" t="s">
        <v>10</v>
      </c>
      <c r="C12" s="3"/>
      <c r="D12" s="4" t="s">
        <v>54</v>
      </c>
      <c r="E12" s="25" t="s">
        <v>261</v>
      </c>
      <c r="F12" s="26" t="s">
        <v>110</v>
      </c>
      <c r="G12" s="5" t="str">
        <f xml:space="preserve"> IF(IF(F12="MSTR", M12, R12) = 0, "", IF(F12="MSTR", M12, R12))</f>
        <v/>
      </c>
      <c r="H12" s="6" t="str">
        <f xml:space="preserve"> IF(IF(F12="MSTR", N12, S12) = 0, "", IF(F12="MSTR", N12, S12))</f>
        <v/>
      </c>
      <c r="I12" s="6" t="str">
        <f xml:space="preserve"> IF(IF(F12="MSTR", O12, T12) = 0, "", IF(F12="MSTR", O12, T12))</f>
        <v/>
      </c>
      <c r="J12" s="6" t="str">
        <f xml:space="preserve"> IF(IF(F12="MSTR", P12, U12) = 0, "", IF(F12="MSTR", P12, U12))</f>
        <v>PWM8L</v>
      </c>
      <c r="K12" s="14" t="str">
        <f xml:space="preserve"> IF(IF(F12="MSTR", Q12, V12) = 0, "", IF(F12="MSTR", Q12, V12))</f>
        <v/>
      </c>
      <c r="L12" s="31">
        <f xml:space="preserve"> IF(F12=Settings!$A$2, 1, IF(F12=Settings!$A$3, 2,  IF(F12=Settings!$A$4, 0, "")))</f>
        <v>1</v>
      </c>
      <c r="M12" s="5"/>
      <c r="N12" s="6"/>
      <c r="O12" s="6"/>
      <c r="P12" s="7" t="s">
        <v>151</v>
      </c>
      <c r="Q12" s="8"/>
      <c r="R12" s="9"/>
      <c r="S12" s="7"/>
      <c r="T12" s="7"/>
      <c r="U12" s="7"/>
      <c r="V12" s="8"/>
      <c r="W12" t="s">
        <v>178</v>
      </c>
    </row>
    <row r="13" spans="1:24" x14ac:dyDescent="0.25">
      <c r="A13" s="1">
        <v>5</v>
      </c>
      <c r="B13" s="2" t="s">
        <v>0</v>
      </c>
      <c r="C13" s="3" t="s">
        <v>0</v>
      </c>
      <c r="D13" s="21"/>
      <c r="E13" s="18"/>
      <c r="F13" s="22"/>
      <c r="G13" s="16"/>
      <c r="H13" s="19"/>
      <c r="I13" s="19"/>
      <c r="J13" s="19"/>
      <c r="K13" s="20"/>
      <c r="L13" s="30"/>
      <c r="M13" s="16"/>
      <c r="N13" s="19"/>
      <c r="O13" s="19"/>
      <c r="P13" s="19"/>
      <c r="Q13" s="20"/>
      <c r="R13" s="16"/>
      <c r="S13" s="19"/>
      <c r="T13" s="19"/>
      <c r="U13" s="19"/>
      <c r="V13" s="20"/>
      <c r="W13" t="s">
        <v>0</v>
      </c>
    </row>
    <row r="14" spans="1:24" x14ac:dyDescent="0.25">
      <c r="A14" s="1">
        <v>6</v>
      </c>
      <c r="B14" s="2" t="s">
        <v>3</v>
      </c>
      <c r="C14" s="3"/>
      <c r="D14" s="4" t="s">
        <v>155</v>
      </c>
      <c r="E14" s="25" t="s">
        <v>265</v>
      </c>
      <c r="F14" s="26" t="s">
        <v>110</v>
      </c>
      <c r="G14" s="5" t="str">
        <f t="shared" ref="G14:G20" si="0" xml:space="preserve"> IF(IF(F14="MSTR", M14, R14) = 0, "", IF(F14="MSTR", M14, R14))</f>
        <v>ANN2</v>
      </c>
      <c r="H14" s="6">
        <v>2</v>
      </c>
      <c r="I14" s="6" t="str">
        <f t="shared" ref="I14:I20" si="1" xml:space="preserve"> IF(IF(F14="MSTR", O14, T14) = 0, "", IF(F14="MSTR", O14, T14))</f>
        <v/>
      </c>
      <c r="J14" s="6" t="str">
        <f t="shared" ref="J14:J20" si="2" xml:space="preserve"> IF(IF(F14="MSTR", P14, U14) = 0, "", IF(F14="MSTR", P14, U14))</f>
        <v/>
      </c>
      <c r="K14" s="14" t="str">
        <f t="shared" ref="K14:K20" si="3" xml:space="preserve"> IF(IF(F14="MSTR", Q14, V14) = 0, "", IF(F14="MSTR", Q14, V14))</f>
        <v/>
      </c>
      <c r="L14" s="31">
        <f xml:space="preserve"> IF(F14=Settings!$A$2, 1, IF(F14=Settings!$A$3, 2,  IF(F14=Settings!$A$4, 0, "")))</f>
        <v>1</v>
      </c>
      <c r="M14" s="5" t="s">
        <v>154</v>
      </c>
      <c r="N14" s="6"/>
      <c r="O14" s="6"/>
      <c r="P14" s="6"/>
      <c r="Q14" s="8"/>
      <c r="R14" s="9"/>
      <c r="S14" s="7"/>
      <c r="T14" s="7"/>
      <c r="U14" s="7"/>
      <c r="V14" s="8"/>
      <c r="W14" t="s">
        <v>130</v>
      </c>
    </row>
    <row r="15" spans="1:24" x14ac:dyDescent="0.25">
      <c r="A15" s="1">
        <v>7</v>
      </c>
      <c r="B15" s="2" t="s">
        <v>11</v>
      </c>
      <c r="C15" s="3"/>
      <c r="D15" s="4" t="s">
        <v>211</v>
      </c>
      <c r="E15" s="25" t="s">
        <v>248</v>
      </c>
      <c r="F15" s="26" t="s">
        <v>110</v>
      </c>
      <c r="G15" s="5" t="str">
        <f t="shared" si="0"/>
        <v>ANN0</v>
      </c>
      <c r="H15" s="6">
        <v>0</v>
      </c>
      <c r="I15" s="6" t="str">
        <f t="shared" si="1"/>
        <v/>
      </c>
      <c r="J15" s="6" t="str">
        <f t="shared" si="2"/>
        <v/>
      </c>
      <c r="K15" s="14" t="str">
        <f t="shared" si="3"/>
        <v/>
      </c>
      <c r="L15" s="31">
        <f xml:space="preserve"> IF(F15=Settings!$A$2, 1, IF(F15=Settings!$A$3, 2,  IF(F15=Settings!$A$4, 0, "")))</f>
        <v>1</v>
      </c>
      <c r="M15" s="5" t="s">
        <v>210</v>
      </c>
      <c r="N15" s="6"/>
      <c r="O15" s="6"/>
      <c r="P15" s="6"/>
      <c r="Q15" s="8"/>
      <c r="R15" s="9"/>
      <c r="S15" s="7"/>
      <c r="T15" s="7"/>
      <c r="U15" s="7"/>
      <c r="V15" s="8"/>
      <c r="W15" t="s">
        <v>131</v>
      </c>
    </row>
    <row r="16" spans="1:24" x14ac:dyDescent="0.25">
      <c r="A16" s="1">
        <v>8</v>
      </c>
      <c r="B16" s="2" t="s">
        <v>12</v>
      </c>
      <c r="C16" s="3"/>
      <c r="D16" s="4"/>
      <c r="E16" s="25" t="s">
        <v>231</v>
      </c>
      <c r="F16" s="26" t="s">
        <v>110</v>
      </c>
      <c r="G16" s="5" t="str">
        <f t="shared" si="0"/>
        <v>AN0</v>
      </c>
      <c r="H16" s="6">
        <v>0</v>
      </c>
      <c r="I16" s="6" t="str">
        <f t="shared" si="1"/>
        <v>CMP1A</v>
      </c>
      <c r="J16" s="6" t="str">
        <f t="shared" si="2"/>
        <v/>
      </c>
      <c r="K16" s="14" t="str">
        <f t="shared" si="3"/>
        <v>OA1OUT/IBIAS0</v>
      </c>
      <c r="L16" s="31">
        <f xml:space="preserve"> IF(F16=Settings!$A$2, 1, IF(F16=Settings!$A$3, 2,  IF(F16=Settings!$A$4, 0, "")))</f>
        <v>1</v>
      </c>
      <c r="M16" s="5" t="s">
        <v>67</v>
      </c>
      <c r="N16" s="6"/>
      <c r="O16" s="6" t="s">
        <v>156</v>
      </c>
      <c r="P16" s="6"/>
      <c r="Q16" s="8" t="s">
        <v>157</v>
      </c>
      <c r="R16" s="9"/>
      <c r="S16" s="7"/>
      <c r="T16" s="7"/>
      <c r="U16" s="7"/>
      <c r="V16" s="8"/>
      <c r="W16" t="s">
        <v>132</v>
      </c>
    </row>
    <row r="17" spans="1:23" x14ac:dyDescent="0.25">
      <c r="A17" s="1">
        <v>9</v>
      </c>
      <c r="B17" s="2" t="s">
        <v>13</v>
      </c>
      <c r="C17" s="3"/>
      <c r="D17" s="4"/>
      <c r="E17" s="25" t="s">
        <v>232</v>
      </c>
      <c r="F17" s="26" t="s">
        <v>110</v>
      </c>
      <c r="G17" s="5" t="str">
        <f t="shared" si="0"/>
        <v>ANA1</v>
      </c>
      <c r="H17" s="6">
        <v>1</v>
      </c>
      <c r="I17" s="6" t="str">
        <f t="shared" si="1"/>
        <v/>
      </c>
      <c r="J17" s="6" t="str">
        <f t="shared" si="2"/>
        <v/>
      </c>
      <c r="K17" s="14" t="str">
        <f t="shared" si="3"/>
        <v>OA1IN-</v>
      </c>
      <c r="L17" s="31">
        <f xml:space="preserve"> IF(F17=Settings!$A$2, 1, IF(F17=Settings!$A$3, 2,  IF(F17=Settings!$A$4, 0, "")))</f>
        <v>1</v>
      </c>
      <c r="M17" s="5" t="s">
        <v>209</v>
      </c>
      <c r="N17" s="6"/>
      <c r="O17" s="6"/>
      <c r="P17" s="6"/>
      <c r="Q17" s="8" t="s">
        <v>212</v>
      </c>
      <c r="R17" s="9"/>
      <c r="S17" s="7"/>
      <c r="T17" s="7"/>
      <c r="U17" s="7"/>
      <c r="V17" s="8"/>
      <c r="W17" t="s">
        <v>133</v>
      </c>
    </row>
    <row r="18" spans="1:23" x14ac:dyDescent="0.25">
      <c r="A18" s="1">
        <v>10</v>
      </c>
      <c r="B18" s="2" t="s">
        <v>14</v>
      </c>
      <c r="C18" s="3"/>
      <c r="D18" s="4"/>
      <c r="E18" s="25" t="s">
        <v>233</v>
      </c>
      <c r="F18" s="26" t="s">
        <v>110</v>
      </c>
      <c r="G18" s="5" t="str">
        <f t="shared" si="0"/>
        <v>AN9</v>
      </c>
      <c r="H18" s="6">
        <v>2</v>
      </c>
      <c r="I18" s="6" t="str">
        <f t="shared" si="1"/>
        <v/>
      </c>
      <c r="J18" s="6" t="str">
        <f t="shared" si="2"/>
        <v/>
      </c>
      <c r="K18" s="14" t="str">
        <f t="shared" si="3"/>
        <v>OA1IN+</v>
      </c>
      <c r="L18" s="31">
        <f xml:space="preserve"> IF(F18=Settings!$A$2, 1, IF(F18=Settings!$A$3, 2,  IF(F18=Settings!$A$4, 0, "")))</f>
        <v>1</v>
      </c>
      <c r="M18" s="5" t="s">
        <v>214</v>
      </c>
      <c r="N18" s="6"/>
      <c r="O18" s="6"/>
      <c r="P18" s="6"/>
      <c r="Q18" s="8" t="s">
        <v>213</v>
      </c>
      <c r="R18" s="9"/>
      <c r="S18" s="7"/>
      <c r="T18" s="7"/>
      <c r="U18" s="7"/>
      <c r="V18" s="8"/>
      <c r="W18" t="s">
        <v>179</v>
      </c>
    </row>
    <row r="19" spans="1:23" x14ac:dyDescent="0.25">
      <c r="A19" s="1">
        <v>11</v>
      </c>
      <c r="B19" s="2" t="s">
        <v>15</v>
      </c>
      <c r="C19" s="3"/>
      <c r="D19" s="4"/>
      <c r="E19" s="25" t="s">
        <v>234</v>
      </c>
      <c r="F19" s="26" t="s">
        <v>110</v>
      </c>
      <c r="G19" s="5" t="str">
        <f t="shared" si="0"/>
        <v>AN3</v>
      </c>
      <c r="H19" s="6">
        <v>2</v>
      </c>
      <c r="I19" s="6" t="str">
        <f t="shared" si="1"/>
        <v>CMP1C</v>
      </c>
      <c r="J19" s="6" t="str">
        <f t="shared" si="2"/>
        <v/>
      </c>
      <c r="K19" s="14" t="str">
        <f t="shared" si="3"/>
        <v>DACOUT1</v>
      </c>
      <c r="L19" s="31">
        <f xml:space="preserve"> IF(F19=Settings!$A$2, 1, IF(F19=Settings!$A$3, 2,  IF(F19=Settings!$A$4, 0, "")))</f>
        <v>1</v>
      </c>
      <c r="M19" s="5" t="s">
        <v>76</v>
      </c>
      <c r="N19" s="6"/>
      <c r="O19" s="6" t="s">
        <v>159</v>
      </c>
      <c r="P19" s="6"/>
      <c r="Q19" s="8" t="s">
        <v>158</v>
      </c>
      <c r="R19" s="9"/>
      <c r="S19" s="7"/>
      <c r="T19" s="7"/>
      <c r="U19" s="7"/>
      <c r="V19" s="8"/>
      <c r="W19" t="s">
        <v>134</v>
      </c>
    </row>
    <row r="20" spans="1:23" x14ac:dyDescent="0.25">
      <c r="A20" s="1">
        <v>12</v>
      </c>
      <c r="B20" s="2" t="s">
        <v>16</v>
      </c>
      <c r="C20" s="3"/>
      <c r="D20" s="4"/>
      <c r="E20" s="25" t="s">
        <v>235</v>
      </c>
      <c r="F20" s="26" t="s">
        <v>110</v>
      </c>
      <c r="G20" s="5" t="str">
        <f t="shared" si="0"/>
        <v>AN4</v>
      </c>
      <c r="H20" s="6">
        <v>2</v>
      </c>
      <c r="I20" s="6" t="str">
        <f t="shared" si="1"/>
        <v>CMP3B</v>
      </c>
      <c r="J20" s="6" t="str">
        <f t="shared" si="2"/>
        <v/>
      </c>
      <c r="K20" s="14" t="str">
        <f t="shared" si="3"/>
        <v>OA3OUT/IBIAS3</v>
      </c>
      <c r="L20" s="31">
        <f xml:space="preserve"> IF(F20=Settings!$A$2, 1, IF(F20=Settings!$A$3, 2,  IF(F20=Settings!$A$4, 0, "")))</f>
        <v>1</v>
      </c>
      <c r="M20" s="5" t="s">
        <v>71</v>
      </c>
      <c r="N20" s="6"/>
      <c r="O20" s="6" t="s">
        <v>160</v>
      </c>
      <c r="P20" s="6"/>
      <c r="Q20" s="8" t="s">
        <v>161</v>
      </c>
      <c r="R20" s="9"/>
      <c r="S20" s="7"/>
      <c r="T20" s="7"/>
      <c r="U20" s="7"/>
      <c r="V20" s="8"/>
      <c r="W20" t="s">
        <v>135</v>
      </c>
    </row>
    <row r="21" spans="1:23" x14ac:dyDescent="0.25">
      <c r="A21" s="1">
        <v>13</v>
      </c>
      <c r="B21" s="2" t="s">
        <v>4</v>
      </c>
      <c r="C21" s="17"/>
      <c r="D21" s="21"/>
      <c r="E21" s="18"/>
      <c r="F21" s="22"/>
      <c r="G21" s="16"/>
      <c r="H21" s="19"/>
      <c r="I21" s="19"/>
      <c r="J21" s="19"/>
      <c r="K21" s="20"/>
      <c r="L21" s="30"/>
      <c r="M21" s="16"/>
      <c r="N21" s="19"/>
      <c r="O21" s="19"/>
      <c r="P21" s="19"/>
      <c r="Q21" s="20"/>
      <c r="R21" s="16"/>
      <c r="S21" s="19"/>
      <c r="T21" s="19"/>
      <c r="U21" s="19"/>
      <c r="V21" s="20"/>
      <c r="W21" t="s">
        <v>4</v>
      </c>
    </row>
    <row r="22" spans="1:23" x14ac:dyDescent="0.25">
      <c r="A22" s="1">
        <v>14</v>
      </c>
      <c r="B22" s="2" t="s">
        <v>180</v>
      </c>
      <c r="C22" s="17"/>
      <c r="D22" s="21"/>
      <c r="E22" s="18"/>
      <c r="F22" s="22"/>
      <c r="G22" s="16"/>
      <c r="H22" s="19"/>
      <c r="I22" s="19"/>
      <c r="J22" s="19"/>
      <c r="K22" s="20"/>
      <c r="L22" s="30"/>
      <c r="M22" s="16"/>
      <c r="N22" s="19"/>
      <c r="O22" s="19"/>
      <c r="P22" s="19"/>
      <c r="Q22" s="20"/>
      <c r="R22" s="16"/>
      <c r="S22" s="19"/>
      <c r="T22" s="19"/>
      <c r="U22" s="19"/>
      <c r="V22" s="20"/>
      <c r="W22" t="s">
        <v>180</v>
      </c>
    </row>
    <row r="23" spans="1:23" x14ac:dyDescent="0.25">
      <c r="A23" s="1">
        <v>15</v>
      </c>
      <c r="B23" s="2" t="s">
        <v>17</v>
      </c>
      <c r="C23" s="3"/>
      <c r="D23" s="4" t="s">
        <v>55</v>
      </c>
      <c r="E23" s="25" t="s">
        <v>249</v>
      </c>
      <c r="F23" s="26" t="s">
        <v>110</v>
      </c>
      <c r="G23" s="5" t="str">
        <f xml:space="preserve"> IF(IF(F23="MSTR", M23, R23) = 0, "", IF(F23="MSTR", M23, R23))</f>
        <v>AN13</v>
      </c>
      <c r="H23" s="6">
        <v>2</v>
      </c>
      <c r="I23" s="6" t="str">
        <f xml:space="preserve"> IF(IF(F23="MSTR", O23, T23) = 0, "", IF(F23="MSTR", O23, T23))</f>
        <v>CMP1B</v>
      </c>
      <c r="J23" s="6" t="str">
        <f xml:space="preserve"> IF(IF(F23="MSTR", P23, U23) = 0, "", IF(F23="MSTR", P23, U23))</f>
        <v/>
      </c>
      <c r="K23" s="14" t="str">
        <f xml:space="preserve"> IF(IF(F23="MSTR", Q23, V23) = 0, "", IF(F23="MSTR", Q23, V23))</f>
        <v>OA3IN-/ISRC0</v>
      </c>
      <c r="L23" s="31">
        <f xml:space="preserve"> IF(F23=Settings!$A$2, 1, IF(F23=Settings!$A$3, 2,  IF(F23=Settings!$A$4, 0, "")))</f>
        <v>1</v>
      </c>
      <c r="M23" s="5" t="s">
        <v>72</v>
      </c>
      <c r="N23" s="7"/>
      <c r="O23" s="7" t="s">
        <v>77</v>
      </c>
      <c r="P23" s="7"/>
      <c r="Q23" s="8" t="s">
        <v>197</v>
      </c>
      <c r="R23" s="9"/>
      <c r="S23" s="7"/>
      <c r="T23" s="7"/>
      <c r="U23" s="7"/>
      <c r="V23" s="8"/>
      <c r="W23" t="s">
        <v>181</v>
      </c>
    </row>
    <row r="24" spans="1:23" x14ac:dyDescent="0.25">
      <c r="A24" s="1">
        <v>16</v>
      </c>
      <c r="B24" s="2" t="s">
        <v>18</v>
      </c>
      <c r="C24" s="3"/>
      <c r="D24" s="4" t="s">
        <v>56</v>
      </c>
      <c r="E24" s="25" t="s">
        <v>250</v>
      </c>
      <c r="F24" s="26" t="s">
        <v>110</v>
      </c>
      <c r="G24" s="5" t="str">
        <f xml:space="preserve"> IF(IF(F24="MSTR", M24, R24) = 0, "", IF(F24="MSTR", M24, R24))</f>
        <v>AN14</v>
      </c>
      <c r="H24" s="6">
        <v>2</v>
      </c>
      <c r="I24" s="6" t="str">
        <f xml:space="preserve"> IF(IF(F24="MSTR", O24, T24) = 0, "", IF(F24="MSTR", O24, T24))</f>
        <v>CMP2B</v>
      </c>
      <c r="J24" s="6" t="str">
        <f xml:space="preserve"> IF(IF(F24="MSTR", P24, U24) = 0, "", IF(F24="MSTR", P24, U24))</f>
        <v/>
      </c>
      <c r="K24" s="14" t="str">
        <f xml:space="preserve"> IF(IF(F24="MSTR", Q24, V24) = 0, "", IF(F24="MSTR", Q24, V24))</f>
        <v>OA3IN+/ISRC1</v>
      </c>
      <c r="L24" s="31">
        <f xml:space="preserve"> IF(F24=Settings!$A$2, 1, IF(F24=Settings!$A$3, 2,  IF(F24=Settings!$A$4, 0, "")))</f>
        <v>1</v>
      </c>
      <c r="M24" s="5" t="s">
        <v>68</v>
      </c>
      <c r="N24" s="7"/>
      <c r="O24" s="7" t="s">
        <v>162</v>
      </c>
      <c r="P24" s="7"/>
      <c r="Q24" s="8" t="s">
        <v>198</v>
      </c>
      <c r="R24" s="9"/>
      <c r="S24" s="7"/>
      <c r="T24" s="7"/>
      <c r="U24" s="7"/>
      <c r="V24" s="8"/>
      <c r="W24" t="s">
        <v>182</v>
      </c>
    </row>
    <row r="25" spans="1:23" x14ac:dyDescent="0.25">
      <c r="A25" s="1">
        <v>17</v>
      </c>
      <c r="B25" s="2" t="s">
        <v>19</v>
      </c>
      <c r="C25" s="3"/>
      <c r="D25" s="4" t="s">
        <v>51</v>
      </c>
      <c r="E25" s="25" t="s">
        <v>254</v>
      </c>
      <c r="F25" s="26" t="s">
        <v>110</v>
      </c>
      <c r="G25" s="5" t="str">
        <f xml:space="preserve"> IF(IF(F25="MSTR", M25, R25) = 0, "", IF(F25="MSTR", M25, R25))</f>
        <v>ANN1</v>
      </c>
      <c r="H25" s="6">
        <v>1</v>
      </c>
      <c r="I25" s="6" t="str">
        <f xml:space="preserve"> IF(IF(F25="MSTR", O25, T25) = 0, "", IF(F25="MSTR", O25, T25))</f>
        <v/>
      </c>
      <c r="J25" s="6" t="str">
        <f xml:space="preserve"> IF(IF(F25="MSTR", P25, U25) = 0, "", IF(F25="MSTR", P25, U25))</f>
        <v/>
      </c>
      <c r="K25" s="14" t="str">
        <f xml:space="preserve"> IF(IF(F25="MSTR", Q25, V25) = 0, "", IF(F25="MSTR", Q25, V25))</f>
        <v>IBIAS1</v>
      </c>
      <c r="L25" s="31">
        <f xml:space="preserve"> IF(F25=Settings!$A$2, 1, IF(F25=Settings!$A$3, 2,  IF(F25=Settings!$A$4, 0, "")))</f>
        <v>1</v>
      </c>
      <c r="M25" s="5" t="s">
        <v>163</v>
      </c>
      <c r="N25" s="7"/>
      <c r="O25" s="7"/>
      <c r="P25" s="7"/>
      <c r="Q25" s="8" t="s">
        <v>199</v>
      </c>
      <c r="R25" s="9"/>
      <c r="S25" s="7"/>
      <c r="T25" s="7"/>
      <c r="U25" s="7"/>
      <c r="V25" s="8"/>
      <c r="W25" t="s">
        <v>183</v>
      </c>
    </row>
    <row r="26" spans="1:23" x14ac:dyDescent="0.25">
      <c r="A26" s="1">
        <v>18</v>
      </c>
      <c r="B26" s="2" t="s">
        <v>2</v>
      </c>
      <c r="C26" s="17"/>
      <c r="D26" s="21"/>
      <c r="E26" s="18"/>
      <c r="F26" s="22" t="s">
        <v>110</v>
      </c>
      <c r="G26" s="16"/>
      <c r="H26" s="19"/>
      <c r="I26" s="19"/>
      <c r="J26" s="19"/>
      <c r="K26" s="20"/>
      <c r="L26" s="30"/>
      <c r="M26" s="16"/>
      <c r="N26" s="19"/>
      <c r="O26" s="19"/>
      <c r="P26" s="19"/>
      <c r="Q26" s="20"/>
      <c r="R26" s="16"/>
      <c r="S26" s="19"/>
      <c r="T26" s="19"/>
      <c r="U26" s="19"/>
      <c r="V26" s="20"/>
      <c r="W26" t="s">
        <v>2</v>
      </c>
    </row>
    <row r="27" spans="1:23" x14ac:dyDescent="0.25">
      <c r="A27" s="1">
        <v>19</v>
      </c>
      <c r="B27" s="2" t="s">
        <v>1</v>
      </c>
      <c r="C27" s="17"/>
      <c r="D27" s="21"/>
      <c r="E27" s="18"/>
      <c r="F27" s="22" t="s">
        <v>110</v>
      </c>
      <c r="G27" s="16"/>
      <c r="H27" s="19"/>
      <c r="I27" s="19"/>
      <c r="J27" s="19"/>
      <c r="K27" s="20"/>
      <c r="L27" s="30"/>
      <c r="M27" s="16"/>
      <c r="N27" s="19"/>
      <c r="O27" s="19"/>
      <c r="P27" s="19"/>
      <c r="Q27" s="20"/>
      <c r="R27" s="16"/>
      <c r="S27" s="19"/>
      <c r="T27" s="19"/>
      <c r="U27" s="19"/>
      <c r="V27" s="20"/>
      <c r="W27" t="s">
        <v>1</v>
      </c>
    </row>
    <row r="28" spans="1:23" x14ac:dyDescent="0.25">
      <c r="A28" s="1">
        <v>20</v>
      </c>
      <c r="B28" s="2" t="s">
        <v>20</v>
      </c>
      <c r="C28" s="3"/>
      <c r="D28" s="4" t="s">
        <v>218</v>
      </c>
      <c r="E28" s="25" t="s">
        <v>251</v>
      </c>
      <c r="F28" s="26" t="s">
        <v>110</v>
      </c>
      <c r="G28" s="5" t="str">
        <f t="shared" ref="G28:G38" si="4" xml:space="preserve"> IF(IF(F28="MSTR", M28, R28) = 0, "", IF(F28="MSTR", M28, R28))</f>
        <v>AN15</v>
      </c>
      <c r="H28" s="6">
        <v>2</v>
      </c>
      <c r="I28" s="6" t="str">
        <f t="shared" ref="I28:I38" si="5" xml:space="preserve"> IF(IF(F28="MSTR", O28, T28) = 0, "", IF(F28="MSTR", O28, T28))</f>
        <v>CMP2A</v>
      </c>
      <c r="J28" s="6" t="str">
        <f t="shared" ref="J28:J38" si="6" xml:space="preserve"> IF(IF(F28="MSTR", P28, U28) = 0, "", IF(F28="MSTR", P28, U28))</f>
        <v/>
      </c>
      <c r="K28" s="14" t="str">
        <f t="shared" ref="K28:K38" si="7" xml:space="preserve"> IF(IF(F28="MSTR", Q28, V28) = 0, "", IF(F28="MSTR", Q28, V28))</f>
        <v>IBIAS2</v>
      </c>
      <c r="L28" s="31">
        <f xml:space="preserve"> IF(F28=Settings!$A$2, 1, IF(F28=Settings!$A$3, 2,  IF(F28=Settings!$A$4, 0, "")))</f>
        <v>1</v>
      </c>
      <c r="M28" s="5" t="s">
        <v>215</v>
      </c>
      <c r="N28" s="6"/>
      <c r="O28" s="6" t="s">
        <v>216</v>
      </c>
      <c r="P28" s="6"/>
      <c r="Q28" s="8" t="s">
        <v>217</v>
      </c>
      <c r="R28" s="9"/>
      <c r="S28" s="7"/>
      <c r="T28" s="7"/>
      <c r="U28" s="7"/>
      <c r="V28" s="8"/>
      <c r="W28" t="s">
        <v>184</v>
      </c>
    </row>
    <row r="29" spans="1:23" x14ac:dyDescent="0.25">
      <c r="A29" s="1">
        <v>21</v>
      </c>
      <c r="B29" s="2" t="s">
        <v>21</v>
      </c>
      <c r="C29" s="3"/>
      <c r="D29" s="4" t="s">
        <v>57</v>
      </c>
      <c r="E29" s="25" t="s">
        <v>236</v>
      </c>
      <c r="F29" s="26" t="s">
        <v>110</v>
      </c>
      <c r="G29" s="5" t="str">
        <f t="shared" si="4"/>
        <v>AN5</v>
      </c>
      <c r="H29" s="6">
        <v>2</v>
      </c>
      <c r="I29" s="6" t="str">
        <f t="shared" si="5"/>
        <v/>
      </c>
      <c r="J29" s="6" t="str">
        <f t="shared" si="6"/>
        <v/>
      </c>
      <c r="K29" s="14" t="str">
        <f t="shared" si="7"/>
        <v>OSCI/CLKI</v>
      </c>
      <c r="L29" s="31">
        <f xml:space="preserve"> IF(F29=Settings!$A$2, 1, IF(F29=Settings!$A$3, 2,  IF(F29=Settings!$A$4, 0, "")))</f>
        <v>1</v>
      </c>
      <c r="M29" s="5" t="s">
        <v>70</v>
      </c>
      <c r="N29" s="6"/>
      <c r="O29" s="6"/>
      <c r="P29" s="6"/>
      <c r="Q29" s="8" t="s">
        <v>200</v>
      </c>
      <c r="R29" s="9"/>
      <c r="S29" s="7"/>
      <c r="T29" s="7"/>
      <c r="U29" s="7"/>
      <c r="V29" s="8"/>
      <c r="W29" t="s">
        <v>185</v>
      </c>
    </row>
    <row r="30" spans="1:23" x14ac:dyDescent="0.25">
      <c r="A30" s="1">
        <v>22</v>
      </c>
      <c r="B30" s="2" t="s">
        <v>22</v>
      </c>
      <c r="C30" s="3"/>
      <c r="D30" s="4" t="s">
        <v>58</v>
      </c>
      <c r="E30" s="25" t="s">
        <v>237</v>
      </c>
      <c r="F30" s="26" t="s">
        <v>110</v>
      </c>
      <c r="G30" s="5" t="str">
        <f t="shared" si="4"/>
        <v>AN6</v>
      </c>
      <c r="H30" s="6">
        <v>2</v>
      </c>
      <c r="I30" s="6" t="str">
        <f t="shared" si="5"/>
        <v/>
      </c>
      <c r="J30" s="6" t="str">
        <f t="shared" si="6"/>
        <v/>
      </c>
      <c r="K30" s="14" t="str">
        <f t="shared" si="7"/>
        <v>OSCO/CLKO</v>
      </c>
      <c r="L30" s="31">
        <f xml:space="preserve"> IF(F30=Settings!$A$2, 1, IF(F30=Settings!$A$3, 2,  IF(F30=Settings!$A$4, 0, "")))</f>
        <v>1</v>
      </c>
      <c r="M30" s="5" t="s">
        <v>81</v>
      </c>
      <c r="N30" s="7"/>
      <c r="O30" s="7"/>
      <c r="P30" s="7"/>
      <c r="Q30" s="8" t="s">
        <v>201</v>
      </c>
      <c r="R30" s="9"/>
      <c r="S30" s="7"/>
      <c r="T30" s="7"/>
      <c r="U30" s="7"/>
      <c r="V30" s="8"/>
      <c r="W30" t="s">
        <v>186</v>
      </c>
    </row>
    <row r="31" spans="1:23" x14ac:dyDescent="0.25">
      <c r="A31" s="1">
        <v>23</v>
      </c>
      <c r="B31" s="2" t="s">
        <v>23</v>
      </c>
      <c r="C31" s="3"/>
      <c r="D31" s="4" t="s">
        <v>166</v>
      </c>
      <c r="E31" s="25" t="s">
        <v>264</v>
      </c>
      <c r="F31" s="26" t="s">
        <v>110</v>
      </c>
      <c r="G31" s="5" t="str">
        <f t="shared" si="4"/>
        <v>AN18</v>
      </c>
      <c r="H31" s="6">
        <v>2</v>
      </c>
      <c r="I31" s="6" t="str">
        <f t="shared" si="5"/>
        <v>CMP3C</v>
      </c>
      <c r="J31" s="6" t="str">
        <f t="shared" si="6"/>
        <v/>
      </c>
      <c r="K31" s="14" t="str">
        <f t="shared" si="7"/>
        <v>ISRC3</v>
      </c>
      <c r="L31" s="31">
        <f xml:space="preserve"> IF(F31=Settings!$A$2, 1, IF(F31=Settings!$A$3, 2,  IF(F31=Settings!$A$4, 0, "")))</f>
        <v>1</v>
      </c>
      <c r="M31" s="5" t="s">
        <v>164</v>
      </c>
      <c r="N31" s="7"/>
      <c r="O31" s="7" t="s">
        <v>165</v>
      </c>
      <c r="P31" s="7"/>
      <c r="Q31" s="8" t="s">
        <v>202</v>
      </c>
      <c r="R31" s="9"/>
      <c r="S31" s="7"/>
      <c r="T31" s="7"/>
      <c r="U31" s="7"/>
      <c r="V31" s="8"/>
      <c r="W31" t="s">
        <v>187</v>
      </c>
    </row>
    <row r="32" spans="1:23" x14ac:dyDescent="0.25">
      <c r="A32" s="1">
        <v>24</v>
      </c>
      <c r="B32" s="2" t="s">
        <v>24</v>
      </c>
      <c r="C32" s="3"/>
      <c r="D32" s="4" t="s">
        <v>59</v>
      </c>
      <c r="E32" s="25" t="s">
        <v>255</v>
      </c>
      <c r="F32" s="26" t="s">
        <v>110</v>
      </c>
      <c r="G32" s="5" t="str">
        <f t="shared" si="4"/>
        <v>AN16</v>
      </c>
      <c r="H32" s="6">
        <v>2</v>
      </c>
      <c r="I32" s="6" t="str">
        <f t="shared" si="5"/>
        <v/>
      </c>
      <c r="J32" s="6" t="str">
        <f t="shared" si="6"/>
        <v/>
      </c>
      <c r="K32" s="14" t="str">
        <f t="shared" si="7"/>
        <v>ISRC2</v>
      </c>
      <c r="L32" s="31">
        <f xml:space="preserve"> IF(F32=Settings!$A$2, 1, IF(F32=Settings!$A$3, 2,  IF(F32=Settings!$A$4, 0, "")))</f>
        <v>1</v>
      </c>
      <c r="M32" s="5" t="s">
        <v>167</v>
      </c>
      <c r="N32" s="6"/>
      <c r="O32" s="6"/>
      <c r="P32" s="6"/>
      <c r="Q32" s="8" t="s">
        <v>203</v>
      </c>
      <c r="R32" s="9"/>
      <c r="S32" s="7"/>
      <c r="T32" s="7"/>
      <c r="U32" s="7"/>
      <c r="V32" s="8"/>
      <c r="W32" t="s">
        <v>188</v>
      </c>
    </row>
    <row r="33" spans="1:23" x14ac:dyDescent="0.25">
      <c r="A33" s="1">
        <v>25</v>
      </c>
      <c r="B33" s="2" t="s">
        <v>25</v>
      </c>
      <c r="C33" s="3"/>
      <c r="D33" s="4" t="s">
        <v>221</v>
      </c>
      <c r="E33" s="25" t="s">
        <v>238</v>
      </c>
      <c r="F33" s="26" t="s">
        <v>110</v>
      </c>
      <c r="G33" s="5" t="str">
        <f t="shared" si="4"/>
        <v>ANA0</v>
      </c>
      <c r="H33" s="6">
        <v>0</v>
      </c>
      <c r="I33" s="6" t="str">
        <f t="shared" si="5"/>
        <v>CMP3D</v>
      </c>
      <c r="J33" s="6" t="str">
        <f t="shared" si="6"/>
        <v/>
      </c>
      <c r="K33" s="14" t="str">
        <f t="shared" si="7"/>
        <v>OA2OUT/SCL3/INT0</v>
      </c>
      <c r="L33" s="31">
        <f xml:space="preserve"> IF(F33=Settings!$A$2, 1, IF(F33=Settings!$A$3, 2,  IF(F33=Settings!$A$4, 0, "")))</f>
        <v>1</v>
      </c>
      <c r="M33" s="5" t="s">
        <v>219</v>
      </c>
      <c r="N33" s="6"/>
      <c r="O33" s="6" t="s">
        <v>220</v>
      </c>
      <c r="P33" s="6"/>
      <c r="Q33" s="8" t="s">
        <v>222</v>
      </c>
      <c r="R33" s="9"/>
      <c r="S33" s="7"/>
      <c r="T33" s="7"/>
      <c r="U33" s="7"/>
      <c r="V33" s="8"/>
      <c r="W33" t="s">
        <v>136</v>
      </c>
    </row>
    <row r="34" spans="1:23" x14ac:dyDescent="0.25">
      <c r="A34" s="1">
        <v>26</v>
      </c>
      <c r="B34" s="2" t="s">
        <v>26</v>
      </c>
      <c r="C34" s="3" t="s">
        <v>223</v>
      </c>
      <c r="D34" s="4" t="s">
        <v>226</v>
      </c>
      <c r="E34" s="25" t="s">
        <v>239</v>
      </c>
      <c r="F34" s="26" t="s">
        <v>110</v>
      </c>
      <c r="G34" s="5" t="str">
        <f t="shared" si="4"/>
        <v>AN8</v>
      </c>
      <c r="H34" s="6">
        <v>2</v>
      </c>
      <c r="I34" s="6" t="str">
        <f t="shared" si="5"/>
        <v/>
      </c>
      <c r="J34" s="6" t="str">
        <f t="shared" si="6"/>
        <v/>
      </c>
      <c r="K34" s="14" t="str">
        <f t="shared" si="7"/>
        <v>OA2IN-</v>
      </c>
      <c r="L34" s="31">
        <f xml:space="preserve"> IF(F34=Settings!$A$2, 1, IF(F34=Settings!$A$3, 2,  IF(F34=Settings!$A$4, 0, "")))</f>
        <v>1</v>
      </c>
      <c r="M34" s="5" t="s">
        <v>225</v>
      </c>
      <c r="N34" s="6"/>
      <c r="O34" s="6"/>
      <c r="P34" s="6"/>
      <c r="Q34" s="8" t="s">
        <v>224</v>
      </c>
      <c r="R34" s="9"/>
      <c r="S34" s="7"/>
      <c r="T34" s="7"/>
      <c r="U34" s="7"/>
      <c r="V34" s="8"/>
      <c r="W34" t="s">
        <v>137</v>
      </c>
    </row>
    <row r="35" spans="1:23" x14ac:dyDescent="0.25">
      <c r="A35" s="1">
        <v>27</v>
      </c>
      <c r="B35" s="2" t="s">
        <v>27</v>
      </c>
      <c r="C35" s="3" t="s">
        <v>73</v>
      </c>
      <c r="D35" s="4" t="s">
        <v>60</v>
      </c>
      <c r="E35" s="25" t="s">
        <v>240</v>
      </c>
      <c r="F35" s="26" t="s">
        <v>110</v>
      </c>
      <c r="G35" s="5" t="str">
        <f t="shared" si="4"/>
        <v/>
      </c>
      <c r="H35" s="6" t="str">
        <f xml:space="preserve"> IF(IF(F35="MSTR", N35, S35) = 0, "", IF(F35="MSTR", N35, S35))</f>
        <v/>
      </c>
      <c r="I35" s="6" t="str">
        <f t="shared" si="5"/>
        <v/>
      </c>
      <c r="J35" s="6" t="str">
        <f t="shared" si="6"/>
        <v/>
      </c>
      <c r="K35" s="14" t="str">
        <f t="shared" si="7"/>
        <v>OA2IN+</v>
      </c>
      <c r="L35" s="31">
        <f xml:space="preserve"> IF(F35=Settings!$A$2, 1, IF(F35=Settings!$A$3, 2,  IF(F35=Settings!$A$4, 0, "")))</f>
        <v>1</v>
      </c>
      <c r="M35" s="5"/>
      <c r="N35" s="6"/>
      <c r="O35" s="6"/>
      <c r="P35" s="6"/>
      <c r="Q35" s="8" t="s">
        <v>168</v>
      </c>
      <c r="R35" s="9"/>
      <c r="S35" s="7"/>
      <c r="T35" s="7"/>
      <c r="U35" s="7"/>
      <c r="V35" s="8"/>
      <c r="W35" t="s">
        <v>138</v>
      </c>
    </row>
    <row r="36" spans="1:23" x14ac:dyDescent="0.25">
      <c r="A36" s="1">
        <v>28</v>
      </c>
      <c r="B36" s="2" t="s">
        <v>28</v>
      </c>
      <c r="C36" s="3"/>
      <c r="D36" s="4" t="s">
        <v>74</v>
      </c>
      <c r="E36" s="25" t="s">
        <v>256</v>
      </c>
      <c r="F36" s="26" t="s">
        <v>110</v>
      </c>
      <c r="G36" s="5" t="str">
        <f t="shared" si="4"/>
        <v/>
      </c>
      <c r="H36" s="6" t="str">
        <f xml:space="preserve"> IF(IF(F36="MSTR", N36, S36) = 0, "", IF(F36="MSTR", N36, S36))</f>
        <v/>
      </c>
      <c r="I36" s="6" t="str">
        <f t="shared" si="5"/>
        <v/>
      </c>
      <c r="J36" s="6" t="str">
        <f t="shared" si="6"/>
        <v/>
      </c>
      <c r="K36" s="14" t="str">
        <f t="shared" si="7"/>
        <v>ASDA1/SCK2</v>
      </c>
      <c r="L36" s="31">
        <f xml:space="preserve"> IF(F36=Settings!$A$2, 1, IF(F36=Settings!$A$3, 2,  IF(F36=Settings!$A$4, 0, "")))</f>
        <v>1</v>
      </c>
      <c r="M36" s="5"/>
      <c r="N36" s="7"/>
      <c r="O36" s="7"/>
      <c r="P36" s="7"/>
      <c r="Q36" s="8" t="s">
        <v>79</v>
      </c>
      <c r="R36" s="9"/>
      <c r="S36" s="7"/>
      <c r="T36" s="7"/>
      <c r="U36" s="7"/>
      <c r="V36" s="8"/>
      <c r="W36" t="s">
        <v>139</v>
      </c>
    </row>
    <row r="37" spans="1:23" x14ac:dyDescent="0.25">
      <c r="A37" s="1">
        <v>29</v>
      </c>
      <c r="B37" s="2" t="s">
        <v>29</v>
      </c>
      <c r="C37" s="3"/>
      <c r="D37" s="4" t="s">
        <v>75</v>
      </c>
      <c r="E37" s="25" t="s">
        <v>257</v>
      </c>
      <c r="F37" s="26" t="s">
        <v>110</v>
      </c>
      <c r="G37" s="5" t="str">
        <f t="shared" si="4"/>
        <v/>
      </c>
      <c r="H37" s="6" t="str">
        <f xml:space="preserve"> IF(IF(F37="MSTR", N37, S37) = 0, "", IF(F37="MSTR", N37, S37))</f>
        <v/>
      </c>
      <c r="I37" s="6" t="str">
        <f t="shared" si="5"/>
        <v/>
      </c>
      <c r="J37" s="6" t="str">
        <f t="shared" si="6"/>
        <v/>
      </c>
      <c r="K37" s="14" t="str">
        <f t="shared" si="7"/>
        <v>ASCL1/SDI2</v>
      </c>
      <c r="L37" s="31">
        <f xml:space="preserve"> IF(F37=Settings!$A$2, 1, IF(F37=Settings!$A$3, 2,  IF(F37=Settings!$A$4, 0, "")))</f>
        <v>1</v>
      </c>
      <c r="M37" s="5"/>
      <c r="N37" s="7"/>
      <c r="O37" s="7"/>
      <c r="P37" s="7"/>
      <c r="Q37" s="8" t="s">
        <v>80</v>
      </c>
      <c r="R37" s="9"/>
      <c r="S37" s="7"/>
      <c r="T37" s="7"/>
      <c r="U37" s="7"/>
      <c r="V37" s="8"/>
      <c r="W37" t="s">
        <v>140</v>
      </c>
    </row>
    <row r="38" spans="1:23" x14ac:dyDescent="0.25">
      <c r="A38" s="1">
        <v>30</v>
      </c>
      <c r="B38" s="2" t="s">
        <v>30</v>
      </c>
      <c r="C38" s="3"/>
      <c r="D38" s="4" t="s">
        <v>169</v>
      </c>
      <c r="E38" s="25" t="s">
        <v>263</v>
      </c>
      <c r="F38" s="26" t="s">
        <v>110</v>
      </c>
      <c r="G38" s="5" t="str">
        <f t="shared" si="4"/>
        <v/>
      </c>
      <c r="H38" s="6" t="str">
        <f xml:space="preserve"> IF(IF(F38="MSTR", N38, S38) = 0, "", IF(F38="MSTR", N38, S38))</f>
        <v/>
      </c>
      <c r="I38" s="6" t="str">
        <f t="shared" si="5"/>
        <v/>
      </c>
      <c r="J38" s="6" t="str">
        <f t="shared" si="6"/>
        <v/>
      </c>
      <c r="K38" s="14" t="str">
        <f t="shared" si="7"/>
        <v>SDO2/PCI19</v>
      </c>
      <c r="L38" s="31">
        <f xml:space="preserve"> IF(F38=Settings!$A$2, 1, IF(F38=Settings!$A$3, 2,  IF(F38=Settings!$A$4, 0, "")))</f>
        <v>1</v>
      </c>
      <c r="M38" s="5"/>
      <c r="N38" s="6"/>
      <c r="O38" s="6"/>
      <c r="P38" s="6"/>
      <c r="Q38" s="8" t="s">
        <v>88</v>
      </c>
      <c r="R38" s="9"/>
      <c r="S38" s="7"/>
      <c r="T38" s="7"/>
      <c r="U38" s="7"/>
      <c r="V38" s="8"/>
      <c r="W38" t="s">
        <v>141</v>
      </c>
    </row>
    <row r="39" spans="1:23" x14ac:dyDescent="0.25">
      <c r="A39" s="1">
        <v>31</v>
      </c>
      <c r="B39" s="2" t="s">
        <v>1</v>
      </c>
      <c r="C39" s="17"/>
      <c r="D39" s="21"/>
      <c r="E39" s="18"/>
      <c r="F39" s="22" t="s">
        <v>110</v>
      </c>
      <c r="G39" s="16"/>
      <c r="H39" s="19"/>
      <c r="I39" s="19"/>
      <c r="J39" s="19"/>
      <c r="K39" s="20"/>
      <c r="L39" s="30"/>
      <c r="M39" s="16"/>
      <c r="N39" s="19"/>
      <c r="O39" s="19"/>
      <c r="P39" s="19"/>
      <c r="Q39" s="20"/>
      <c r="R39" s="16"/>
      <c r="S39" s="19"/>
      <c r="T39" s="19"/>
      <c r="U39" s="19"/>
      <c r="V39" s="20"/>
      <c r="W39" t="s">
        <v>1</v>
      </c>
    </row>
    <row r="40" spans="1:23" x14ac:dyDescent="0.25">
      <c r="A40" s="1">
        <v>32</v>
      </c>
      <c r="B40" s="2" t="s">
        <v>2</v>
      </c>
      <c r="C40" s="17"/>
      <c r="D40" s="21"/>
      <c r="E40" s="18"/>
      <c r="F40" s="22" t="s">
        <v>110</v>
      </c>
      <c r="G40" s="16"/>
      <c r="H40" s="19"/>
      <c r="I40" s="19"/>
      <c r="J40" s="19"/>
      <c r="K40" s="20"/>
      <c r="L40" s="30"/>
      <c r="M40" s="16"/>
      <c r="N40" s="19"/>
      <c r="O40" s="19"/>
      <c r="P40" s="19"/>
      <c r="Q40" s="20"/>
      <c r="R40" s="16"/>
      <c r="S40" s="19"/>
      <c r="T40" s="19"/>
      <c r="U40" s="19"/>
      <c r="V40" s="20"/>
      <c r="W40" t="s">
        <v>2</v>
      </c>
    </row>
    <row r="41" spans="1:23" x14ac:dyDescent="0.25">
      <c r="A41" s="1">
        <v>33</v>
      </c>
      <c r="B41" s="2" t="s">
        <v>31</v>
      </c>
      <c r="C41" s="3" t="s">
        <v>82</v>
      </c>
      <c r="D41" s="4" t="s">
        <v>89</v>
      </c>
      <c r="E41" s="25" t="s">
        <v>204</v>
      </c>
      <c r="F41" s="26" t="s">
        <v>110</v>
      </c>
      <c r="G41" s="5" t="str">
        <f t="shared" ref="G41:G49" si="8" xml:space="preserve"> IF(IF(F41="MSTR", M41, R41) = 0, "", IF(F41="MSTR", M41, R41))</f>
        <v/>
      </c>
      <c r="H41" s="6" t="str">
        <f xml:space="preserve"> IF(IF(F41="MSTR", N41, S41) = 0, "", IF(F41="MSTR", N41, S41))</f>
        <v/>
      </c>
      <c r="I41" s="6" t="str">
        <f t="shared" ref="I41:I49" si="9" xml:space="preserve"> IF(IF(F41="MSTR", O41, T41) = 0, "", IF(F41="MSTR", O41, T41))</f>
        <v/>
      </c>
      <c r="J41" s="6" t="str">
        <f t="shared" ref="J41:J49" si="10" xml:space="preserve"> IF(IF(F41="MSTR", P41, U41) = 0, "", IF(F41="MSTR", P41, U41))</f>
        <v>PWM6L</v>
      </c>
      <c r="K41" s="14" t="str">
        <f t="shared" ref="K41:K49" si="11" xml:space="preserve"> IF(IF(F41="MSTR", Q41, V41) = 0, "", IF(F41="MSTR", Q41, V41))</f>
        <v>SDA2</v>
      </c>
      <c r="L41" s="31">
        <f xml:space="preserve"> IF(F41=Settings!$A$2, 1, IF(F41=Settings!$A$3, 2,  IF(F41=Settings!$A$4, 0, "")))</f>
        <v>1</v>
      </c>
      <c r="M41" s="5"/>
      <c r="N41" s="7"/>
      <c r="O41" s="6"/>
      <c r="P41" s="6" t="s">
        <v>153</v>
      </c>
      <c r="Q41" s="8" t="s">
        <v>204</v>
      </c>
      <c r="R41" s="9"/>
      <c r="S41" s="7"/>
      <c r="T41" s="7"/>
      <c r="U41" s="7"/>
      <c r="V41" s="8"/>
      <c r="W41" t="s">
        <v>189</v>
      </c>
    </row>
    <row r="42" spans="1:23" x14ac:dyDescent="0.25">
      <c r="A42" s="1">
        <v>34</v>
      </c>
      <c r="B42" s="2" t="s">
        <v>32</v>
      </c>
      <c r="C42" s="3" t="s">
        <v>83</v>
      </c>
      <c r="D42" s="4" t="s">
        <v>90</v>
      </c>
      <c r="E42" s="25" t="s">
        <v>107</v>
      </c>
      <c r="F42" s="26" t="s">
        <v>110</v>
      </c>
      <c r="G42" s="5" t="str">
        <f t="shared" si="8"/>
        <v/>
      </c>
      <c r="H42" s="6" t="str">
        <f xml:space="preserve"> IF(IF(F42="MSTR", N42, S42) = 0, "", IF(F42="MSTR", N42, S42))</f>
        <v/>
      </c>
      <c r="I42" s="6" t="str">
        <f t="shared" si="9"/>
        <v/>
      </c>
      <c r="J42" s="6" t="str">
        <f t="shared" si="10"/>
        <v>PWM6H</v>
      </c>
      <c r="K42" s="14" t="str">
        <f t="shared" si="11"/>
        <v>SCL2</v>
      </c>
      <c r="L42" s="31">
        <f xml:space="preserve"> IF(F42=Settings!$A$2, 1, IF(F42=Settings!$A$3, 2,  IF(F42=Settings!$A$4, 0, "")))</f>
        <v>1</v>
      </c>
      <c r="M42" s="5"/>
      <c r="N42" s="7"/>
      <c r="O42" s="6"/>
      <c r="P42" s="6" t="s">
        <v>152</v>
      </c>
      <c r="Q42" s="8" t="s">
        <v>107</v>
      </c>
      <c r="R42" s="9"/>
      <c r="S42" s="7"/>
      <c r="T42" s="7"/>
      <c r="U42" s="7"/>
      <c r="V42" s="8"/>
      <c r="W42" t="s">
        <v>190</v>
      </c>
    </row>
    <row r="43" spans="1:23" x14ac:dyDescent="0.25">
      <c r="A43" s="1">
        <v>35</v>
      </c>
      <c r="B43" s="2" t="s">
        <v>33</v>
      </c>
      <c r="C43" s="3"/>
      <c r="D43" s="4" t="s">
        <v>91</v>
      </c>
      <c r="E43" s="25" t="s">
        <v>241</v>
      </c>
      <c r="F43" s="26" t="s">
        <v>110</v>
      </c>
      <c r="G43" s="5" t="str">
        <f t="shared" si="8"/>
        <v>AN2</v>
      </c>
      <c r="H43" s="6">
        <v>2</v>
      </c>
      <c r="I43" s="6" t="str">
        <f t="shared" si="9"/>
        <v>CMP3A</v>
      </c>
      <c r="J43" s="6" t="str">
        <f t="shared" si="10"/>
        <v/>
      </c>
      <c r="K43" s="14" t="str">
        <f t="shared" si="11"/>
        <v>TDO/SDA3</v>
      </c>
      <c r="L43" s="31">
        <f xml:space="preserve"> IF(F43=Settings!$A$2, 1, IF(F43=Settings!$A$3, 2,  IF(F43=Settings!$A$4, 0, "")))</f>
        <v>1</v>
      </c>
      <c r="M43" s="5" t="s">
        <v>50</v>
      </c>
      <c r="N43" s="6"/>
      <c r="O43" s="6" t="s">
        <v>170</v>
      </c>
      <c r="P43" s="6"/>
      <c r="Q43" s="8" t="s">
        <v>171</v>
      </c>
      <c r="R43" s="9"/>
      <c r="S43" s="7"/>
      <c r="T43" s="7"/>
      <c r="U43" s="7"/>
      <c r="V43" s="8"/>
      <c r="W43" t="s">
        <v>142</v>
      </c>
    </row>
    <row r="44" spans="1:23" x14ac:dyDescent="0.25">
      <c r="A44" s="1">
        <v>36</v>
      </c>
      <c r="B44" s="2" t="s">
        <v>34</v>
      </c>
      <c r="C44" s="3" t="s">
        <v>84</v>
      </c>
      <c r="D44" s="4" t="s">
        <v>92</v>
      </c>
      <c r="E44" s="25" t="s">
        <v>105</v>
      </c>
      <c r="F44" s="26" t="s">
        <v>110</v>
      </c>
      <c r="G44" s="5" t="str">
        <f t="shared" si="8"/>
        <v>AN10</v>
      </c>
      <c r="H44" s="6">
        <v>2</v>
      </c>
      <c r="I44" s="6" t="str">
        <f t="shared" si="9"/>
        <v/>
      </c>
      <c r="J44" s="6" t="str">
        <f t="shared" si="10"/>
        <v/>
      </c>
      <c r="K44" s="14" t="str">
        <f t="shared" si="11"/>
        <v>SCL1</v>
      </c>
      <c r="L44" s="31">
        <f xml:space="preserve"> IF(F44=Settings!$A$2, 1, IF(F44=Settings!$A$3, 2,  IF(F44=Settings!$A$4, 0, "")))</f>
        <v>1</v>
      </c>
      <c r="M44" s="5" t="s">
        <v>66</v>
      </c>
      <c r="N44" s="6"/>
      <c r="O44" s="6"/>
      <c r="P44" s="6"/>
      <c r="Q44" s="8" t="s">
        <v>105</v>
      </c>
      <c r="R44" s="9"/>
      <c r="S44" s="7"/>
      <c r="T44" s="7"/>
      <c r="U44" s="7"/>
      <c r="V44" s="8"/>
      <c r="W44" t="s">
        <v>143</v>
      </c>
    </row>
    <row r="45" spans="1:23" x14ac:dyDescent="0.25">
      <c r="A45" s="1">
        <v>37</v>
      </c>
      <c r="B45" s="2" t="s">
        <v>35</v>
      </c>
      <c r="C45" s="3" t="s">
        <v>85</v>
      </c>
      <c r="D45" s="4" t="s">
        <v>93</v>
      </c>
      <c r="E45" s="25" t="s">
        <v>106</v>
      </c>
      <c r="F45" s="26" t="s">
        <v>110</v>
      </c>
      <c r="G45" s="5" t="str">
        <f t="shared" si="8"/>
        <v>AN11</v>
      </c>
      <c r="H45" s="6">
        <v>2</v>
      </c>
      <c r="I45" s="6" t="str">
        <f t="shared" si="9"/>
        <v/>
      </c>
      <c r="J45" s="6" t="str">
        <f t="shared" si="10"/>
        <v/>
      </c>
      <c r="K45" s="14" t="str">
        <f t="shared" si="11"/>
        <v>SDA1</v>
      </c>
      <c r="L45" s="31">
        <f xml:space="preserve"> IF(F45=Settings!$A$2, 1, IF(F45=Settings!$A$3, 2,  IF(F45=Settings!$A$4, 0, "")))</f>
        <v>1</v>
      </c>
      <c r="M45" s="5" t="s">
        <v>69</v>
      </c>
      <c r="N45" s="6"/>
      <c r="O45" s="6"/>
      <c r="P45" s="6"/>
      <c r="Q45" s="8" t="s">
        <v>106</v>
      </c>
      <c r="R45" s="9"/>
      <c r="S45" s="7"/>
      <c r="T45" s="7"/>
      <c r="U45" s="7"/>
      <c r="V45" s="8"/>
      <c r="W45" t="s">
        <v>144</v>
      </c>
    </row>
    <row r="46" spans="1:23" x14ac:dyDescent="0.25">
      <c r="A46" s="1">
        <v>38</v>
      </c>
      <c r="B46" s="2" t="s">
        <v>36</v>
      </c>
      <c r="C46" s="3"/>
      <c r="D46" s="4" t="s">
        <v>86</v>
      </c>
      <c r="E46" s="25" t="s">
        <v>252</v>
      </c>
      <c r="F46" s="26" t="s">
        <v>110</v>
      </c>
      <c r="G46" s="5" t="str">
        <f t="shared" si="8"/>
        <v/>
      </c>
      <c r="H46" s="6" t="str">
        <f xml:space="preserve"> IF(IF(F46="MSTR", N46, S46) = 0, "", IF(F46="MSTR", N46, S46))</f>
        <v/>
      </c>
      <c r="I46" s="6" t="str">
        <f t="shared" si="9"/>
        <v/>
      </c>
      <c r="J46" s="6" t="str">
        <f t="shared" si="10"/>
        <v>PWM5H</v>
      </c>
      <c r="K46" s="14" t="str">
        <f t="shared" si="11"/>
        <v>ASDA2</v>
      </c>
      <c r="L46" s="31">
        <f xml:space="preserve"> IF(F46=Settings!$A$2, 1, IF(F46=Settings!$A$3, 2,  IF(F46=Settings!$A$4, 0, "")))</f>
        <v>1</v>
      </c>
      <c r="M46" s="5"/>
      <c r="N46" s="6"/>
      <c r="O46" s="6"/>
      <c r="P46" s="6" t="s">
        <v>172</v>
      </c>
      <c r="Q46" s="8" t="s">
        <v>173</v>
      </c>
      <c r="R46" s="9"/>
      <c r="S46" s="7"/>
      <c r="T46" s="7"/>
      <c r="U46" s="7"/>
      <c r="V46" s="8"/>
      <c r="W46" t="s">
        <v>145</v>
      </c>
    </row>
    <row r="47" spans="1:23" x14ac:dyDescent="0.25">
      <c r="A47" s="1">
        <v>39</v>
      </c>
      <c r="B47" s="2" t="s">
        <v>37</v>
      </c>
      <c r="C47" s="3"/>
      <c r="D47" s="4" t="s">
        <v>87</v>
      </c>
      <c r="E47" s="25" t="s">
        <v>253</v>
      </c>
      <c r="F47" s="26" t="s">
        <v>110</v>
      </c>
      <c r="G47" s="5" t="str">
        <f t="shared" si="8"/>
        <v/>
      </c>
      <c r="H47" s="6" t="str">
        <f xml:space="preserve"> IF(IF(F47="MSTR", N47, S47) = 0, "", IF(F47="MSTR", N47, S47))</f>
        <v/>
      </c>
      <c r="I47" s="6" t="str">
        <f t="shared" si="9"/>
        <v/>
      </c>
      <c r="J47" s="6" t="str">
        <f t="shared" si="10"/>
        <v>PWM5L</v>
      </c>
      <c r="K47" s="14" t="str">
        <f t="shared" si="11"/>
        <v>ASCL2</v>
      </c>
      <c r="L47" s="31">
        <f xml:space="preserve"> IF(F47=Settings!$A$2, 1, IF(F47=Settings!$A$3, 2,  IF(F47=Settings!$A$4, 0, "")))</f>
        <v>1</v>
      </c>
      <c r="M47" s="5"/>
      <c r="N47" s="6"/>
      <c r="O47" s="6"/>
      <c r="P47" s="6" t="s">
        <v>174</v>
      </c>
      <c r="Q47" s="8" t="s">
        <v>205</v>
      </c>
      <c r="R47" s="9"/>
      <c r="S47" s="7"/>
      <c r="T47" s="7"/>
      <c r="U47" s="7"/>
      <c r="V47" s="8"/>
      <c r="W47" t="s">
        <v>191</v>
      </c>
    </row>
    <row r="48" spans="1:23" x14ac:dyDescent="0.25">
      <c r="A48" s="1">
        <v>40</v>
      </c>
      <c r="B48" s="2" t="s">
        <v>38</v>
      </c>
      <c r="C48" s="3"/>
      <c r="D48" s="4" t="s">
        <v>227</v>
      </c>
      <c r="E48" s="25" t="s">
        <v>258</v>
      </c>
      <c r="F48" s="26" t="s">
        <v>110</v>
      </c>
      <c r="G48" s="5" t="str">
        <f t="shared" si="8"/>
        <v/>
      </c>
      <c r="H48" s="6" t="str">
        <f xml:space="preserve"> IF(IF(F48="MSTR", N48, S48) = 0, "", IF(F48="MSTR", N48, S48))</f>
        <v/>
      </c>
      <c r="I48" s="6" t="str">
        <f t="shared" si="9"/>
        <v/>
      </c>
      <c r="J48" s="6" t="str">
        <f t="shared" si="10"/>
        <v>PWM7H</v>
      </c>
      <c r="K48" s="14" t="str">
        <f t="shared" si="11"/>
        <v/>
      </c>
      <c r="L48" s="31">
        <f xml:space="preserve"> IF(F48=Settings!$A$2, 1, IF(F48=Settings!$A$3, 2,  IF(F48=Settings!$A$4, 0, "")))</f>
        <v>1</v>
      </c>
      <c r="M48" s="5"/>
      <c r="N48" s="6"/>
      <c r="O48" s="6"/>
      <c r="P48" s="6" t="s">
        <v>228</v>
      </c>
      <c r="Q48" s="8"/>
      <c r="R48" s="9"/>
      <c r="S48" s="7"/>
      <c r="T48" s="7"/>
      <c r="U48" s="7"/>
      <c r="V48" s="8"/>
      <c r="W48" t="s">
        <v>192</v>
      </c>
    </row>
    <row r="49" spans="1:23" x14ac:dyDescent="0.25">
      <c r="A49" s="1">
        <v>41</v>
      </c>
      <c r="B49" s="2" t="s">
        <v>39</v>
      </c>
      <c r="C49" s="3"/>
      <c r="D49" s="4" t="s">
        <v>229</v>
      </c>
      <c r="E49" s="25" t="s">
        <v>259</v>
      </c>
      <c r="F49" s="26" t="s">
        <v>110</v>
      </c>
      <c r="G49" s="5" t="str">
        <f t="shared" si="8"/>
        <v/>
      </c>
      <c r="H49" s="6" t="str">
        <f xml:space="preserve"> IF(IF(F49="MSTR", N49, S49) = 0, "", IF(F49="MSTR", N49, S49))</f>
        <v/>
      </c>
      <c r="I49" s="6" t="str">
        <f t="shared" si="9"/>
        <v/>
      </c>
      <c r="J49" s="6" t="str">
        <f t="shared" si="10"/>
        <v>PWM7L</v>
      </c>
      <c r="K49" s="14" t="str">
        <f t="shared" si="11"/>
        <v/>
      </c>
      <c r="L49" s="31">
        <f xml:space="preserve"> IF(F49=Settings!$A$2, 1, IF(F49=Settings!$A$3, 2,  IF(F49=Settings!$A$4, 0, "")))</f>
        <v>1</v>
      </c>
      <c r="M49" s="5"/>
      <c r="N49" s="6"/>
      <c r="O49" s="6"/>
      <c r="P49" s="6" t="s">
        <v>230</v>
      </c>
      <c r="Q49" s="8"/>
      <c r="R49" s="9"/>
      <c r="S49" s="7"/>
      <c r="T49" s="7"/>
      <c r="U49" s="7"/>
      <c r="V49" s="8"/>
      <c r="W49" t="s">
        <v>146</v>
      </c>
    </row>
    <row r="50" spans="1:23" x14ac:dyDescent="0.25">
      <c r="A50" s="1">
        <v>42</v>
      </c>
      <c r="B50" s="2" t="s">
        <v>1</v>
      </c>
      <c r="C50" s="17"/>
      <c r="D50" s="21"/>
      <c r="E50" s="18"/>
      <c r="F50" s="22" t="s">
        <v>110</v>
      </c>
      <c r="G50" s="16"/>
      <c r="H50" s="19"/>
      <c r="I50" s="19"/>
      <c r="J50" s="19"/>
      <c r="K50" s="20"/>
      <c r="L50" s="30"/>
      <c r="M50" s="16"/>
      <c r="N50" s="19"/>
      <c r="O50" s="19"/>
      <c r="P50" s="19"/>
      <c r="Q50" s="20"/>
      <c r="R50" s="16"/>
      <c r="S50" s="19"/>
      <c r="T50" s="19"/>
      <c r="U50" s="19"/>
      <c r="V50" s="20"/>
      <c r="W50" t="s">
        <v>1</v>
      </c>
    </row>
    <row r="51" spans="1:23" x14ac:dyDescent="0.25">
      <c r="A51" s="1">
        <v>43</v>
      </c>
      <c r="B51" s="2" t="s">
        <v>2</v>
      </c>
      <c r="C51" s="17"/>
      <c r="D51" s="21"/>
      <c r="E51" s="18"/>
      <c r="F51" s="22" t="s">
        <v>110</v>
      </c>
      <c r="G51" s="16"/>
      <c r="H51" s="19"/>
      <c r="I51" s="19"/>
      <c r="J51" s="19"/>
      <c r="K51" s="20"/>
      <c r="L51" s="30"/>
      <c r="M51" s="16"/>
      <c r="N51" s="19"/>
      <c r="O51" s="19"/>
      <c r="P51" s="19"/>
      <c r="Q51" s="20"/>
      <c r="R51" s="16"/>
      <c r="S51" s="19"/>
      <c r="T51" s="19"/>
      <c r="U51" s="19"/>
      <c r="V51" s="20"/>
      <c r="W51" t="s">
        <v>2</v>
      </c>
    </row>
    <row r="52" spans="1:23" x14ac:dyDescent="0.25">
      <c r="A52" s="1">
        <v>44</v>
      </c>
      <c r="B52" s="2" t="s">
        <v>40</v>
      </c>
      <c r="C52" s="3"/>
      <c r="D52" s="4" t="s">
        <v>94</v>
      </c>
      <c r="E52" s="25" t="s">
        <v>262</v>
      </c>
      <c r="F52" s="26" t="s">
        <v>110</v>
      </c>
      <c r="G52" s="5" t="str">
        <f xml:space="preserve"> IF(IF(F52="MSTR", M52, R52) = 0, "", IF(F52="MSTR", M52, R52))</f>
        <v/>
      </c>
      <c r="H52" s="6" t="str">
        <f xml:space="preserve"> IF(IF(F52="MSTR", N52, S52) = 0, "", IF(F52="MSTR", N52, S52))</f>
        <v/>
      </c>
      <c r="I52" s="6" t="str">
        <f xml:space="preserve"> IF(IF(F52="MSTR", O52, T52) = 0, "", IF(F52="MSTR", O52, T52))</f>
        <v/>
      </c>
      <c r="J52" s="6" t="str">
        <f xml:space="preserve"> IF(IF(F52="MSTR", P52, U52) = 0, "", IF(F52="MSTR", P52, U52))</f>
        <v>PWM4H</v>
      </c>
      <c r="K52" s="14" t="str">
        <f xml:space="preserve"> IF(IF(F52="MSTR", Q52, V52) = 0, "", IF(F52="MSTR", Q52, V52))</f>
        <v/>
      </c>
      <c r="L52" s="31">
        <f xml:space="preserve"> IF(F52=Settings!$A$2, 1, IF(F52=Settings!$A$3, 2,  IF(F52=Settings!$A$4, 0, "")))</f>
        <v>1</v>
      </c>
      <c r="M52" s="5"/>
      <c r="N52" s="6"/>
      <c r="O52" s="6"/>
      <c r="P52" s="6" t="s">
        <v>53</v>
      </c>
      <c r="Q52" s="8"/>
      <c r="R52" s="9"/>
      <c r="S52" s="7"/>
      <c r="T52" s="7"/>
      <c r="U52" s="7"/>
      <c r="V52" s="8"/>
      <c r="W52" t="s">
        <v>147</v>
      </c>
    </row>
    <row r="53" spans="1:23" x14ac:dyDescent="0.25">
      <c r="A53" s="1">
        <v>45</v>
      </c>
      <c r="B53" s="2" t="s">
        <v>41</v>
      </c>
      <c r="C53" s="3"/>
      <c r="D53" s="4" t="s">
        <v>95</v>
      </c>
      <c r="E53" s="25" t="s">
        <v>242</v>
      </c>
      <c r="F53" s="26" t="s">
        <v>110</v>
      </c>
      <c r="G53" s="5" t="str">
        <f xml:space="preserve"> IF(IF(F53="MSTR", M53, R53) = 0, "", IF(F53="MSTR", M53, R53))</f>
        <v/>
      </c>
      <c r="H53" s="6" t="str">
        <f xml:space="preserve"> IF(IF(F53="MSTR", N53, S53) = 0, "", IF(F53="MSTR", N53, S53))</f>
        <v/>
      </c>
      <c r="I53" s="6" t="str">
        <f xml:space="preserve"> IF(IF(F53="MSTR", O53, T53) = 0, "", IF(F53="MSTR", O53, T53))</f>
        <v/>
      </c>
      <c r="J53" s="6" t="str">
        <f xml:space="preserve"> IF(IF(F53="MSTR", P53, U53) = 0, "", IF(F53="MSTR", P53, U53))</f>
        <v>PWM3H</v>
      </c>
      <c r="K53" s="14" t="str">
        <f xml:space="preserve"> IF(IF(F53="MSTR", Q53, V53) = 0, "", IF(F53="MSTR", Q53, V53))</f>
        <v>TMS</v>
      </c>
      <c r="L53" s="31">
        <f xml:space="preserve"> IF(F53=Settings!$A$2, 1, IF(F53=Settings!$A$3, 2,  IF(F53=Settings!$A$4, 0, "")))</f>
        <v>1</v>
      </c>
      <c r="M53" s="5"/>
      <c r="N53" s="6"/>
      <c r="O53" s="6"/>
      <c r="P53" s="6" t="s">
        <v>102</v>
      </c>
      <c r="Q53" s="8" t="s">
        <v>206</v>
      </c>
      <c r="R53" s="9"/>
      <c r="S53" s="7"/>
      <c r="T53" s="7"/>
      <c r="U53" s="7"/>
      <c r="V53" s="8"/>
      <c r="W53" t="s">
        <v>193</v>
      </c>
    </row>
    <row r="54" spans="1:23" x14ac:dyDescent="0.25">
      <c r="A54" s="1">
        <v>46</v>
      </c>
      <c r="B54" s="2" t="s">
        <v>42</v>
      </c>
      <c r="C54" s="3"/>
      <c r="D54" s="4" t="s">
        <v>96</v>
      </c>
      <c r="E54" s="25" t="s">
        <v>243</v>
      </c>
      <c r="F54" s="26" t="s">
        <v>110</v>
      </c>
      <c r="G54" s="5" t="str">
        <f xml:space="preserve"> IF(IF(F54="MSTR", M54, R54) = 0, "", IF(F54="MSTR", M54, R54))</f>
        <v/>
      </c>
      <c r="H54" s="6" t="str">
        <f xml:space="preserve"> IF(IF(F54="MSTR", N54, S54) = 0, "", IF(F54="MSTR", N54, S54))</f>
        <v/>
      </c>
      <c r="I54" s="6" t="str">
        <f xml:space="preserve"> IF(IF(F54="MSTR", O54, T54) = 0, "", IF(F54="MSTR", O54, T54))</f>
        <v/>
      </c>
      <c r="J54" s="6" t="str">
        <f xml:space="preserve"> IF(IF(F54="MSTR", P54, U54) = 0, "", IF(F54="MSTR", P54, U54))</f>
        <v>PWM3L</v>
      </c>
      <c r="K54" s="14" t="str">
        <f xml:space="preserve"> IF(IF(F54="MSTR", Q54, V54) = 0, "", IF(F54="MSTR", Q54, V54))</f>
        <v>TCK</v>
      </c>
      <c r="L54" s="31">
        <f xml:space="preserve"> IF(F54=Settings!$A$2, 1, IF(F54=Settings!$A$3, 2,  IF(F54=Settings!$A$4, 0, "")))</f>
        <v>1</v>
      </c>
      <c r="M54" s="5"/>
      <c r="N54" s="6"/>
      <c r="O54" s="6"/>
      <c r="P54" s="6" t="s">
        <v>116</v>
      </c>
      <c r="Q54" s="8" t="s">
        <v>207</v>
      </c>
      <c r="R54" s="9"/>
      <c r="S54" s="7"/>
      <c r="T54" s="7"/>
      <c r="U54" s="7"/>
      <c r="V54" s="8"/>
      <c r="W54" t="s">
        <v>194</v>
      </c>
    </row>
    <row r="55" spans="1:23" x14ac:dyDescent="0.25">
      <c r="A55" s="1">
        <v>47</v>
      </c>
      <c r="B55" s="2" t="s">
        <v>43</v>
      </c>
      <c r="C55" s="3"/>
      <c r="D55" s="4" t="s">
        <v>97</v>
      </c>
      <c r="E55" s="25" t="s">
        <v>244</v>
      </c>
      <c r="F55" s="26" t="s">
        <v>110</v>
      </c>
      <c r="G55" s="5" t="str">
        <f xml:space="preserve"> IF(IF(F55="MSTR", M55, R55) = 0, "", IF(F55="MSTR", M55, R55))</f>
        <v/>
      </c>
      <c r="H55" s="6" t="str">
        <f xml:space="preserve"> IF(IF(F55="MSTR", N55, S55) = 0, "", IF(F55="MSTR", N55, S55))</f>
        <v/>
      </c>
      <c r="I55" s="6" t="str">
        <f xml:space="preserve"> IF(IF(F55="MSTR", O55, T55) = 0, "", IF(F55="MSTR", O55, T55))</f>
        <v/>
      </c>
      <c r="J55" s="6" t="str">
        <f xml:space="preserve"> IF(IF(F55="MSTR", P55, U55) = 0, "", IF(F55="MSTR", P55, U55))</f>
        <v>PWM2H</v>
      </c>
      <c r="K55" s="14" t="str">
        <f xml:space="preserve"> IF(IF(F55="MSTR", Q55, V55) = 0, "", IF(F55="MSTR", Q55, V55))</f>
        <v>TDI</v>
      </c>
      <c r="L55" s="31">
        <f xml:space="preserve"> IF(F55=Settings!$A$2, 1, IF(F55=Settings!$A$3, 2,  IF(F55=Settings!$A$4, 0, "")))</f>
        <v>1</v>
      </c>
      <c r="M55" s="5"/>
      <c r="N55" s="7"/>
      <c r="O55" s="6"/>
      <c r="P55" s="6" t="s">
        <v>103</v>
      </c>
      <c r="Q55" s="8" t="s">
        <v>208</v>
      </c>
      <c r="R55" s="9"/>
      <c r="S55" s="7"/>
      <c r="T55" s="7"/>
      <c r="U55" s="7"/>
      <c r="V55" s="8"/>
      <c r="W55" t="s">
        <v>195</v>
      </c>
    </row>
    <row r="56" spans="1:23" ht="15.75" thickBot="1" x14ac:dyDescent="0.3">
      <c r="A56" s="10">
        <v>48</v>
      </c>
      <c r="B56" s="11" t="s">
        <v>44</v>
      </c>
      <c r="C56" s="3"/>
      <c r="D56" s="4" t="s">
        <v>98</v>
      </c>
      <c r="E56" s="25" t="s">
        <v>245</v>
      </c>
      <c r="F56" s="26" t="s">
        <v>110</v>
      </c>
      <c r="G56" s="5" t="str">
        <f xml:space="preserve"> IF(IF(F56="MSTR", M56, R56) = 0, "", IF(F56="MSTR", M56, R56))</f>
        <v/>
      </c>
      <c r="H56" s="6" t="str">
        <f xml:space="preserve"> IF(IF(F56="MSTR", N56, S56) = 0, "", IF(F56="MSTR", N56, S56))</f>
        <v/>
      </c>
      <c r="I56" s="6" t="str">
        <f xml:space="preserve"> IF(IF(F56="MSTR", O56, T56) = 0, "", IF(F56="MSTR", O56, T56))</f>
        <v/>
      </c>
      <c r="J56" s="6" t="str">
        <f xml:space="preserve"> IF(IF(F56="MSTR", P56, U56) = 0, "", IF(F56="MSTR", P56, U56))</f>
        <v>PWM2L</v>
      </c>
      <c r="K56" s="14" t="str">
        <f xml:space="preserve"> IF(IF(F56="MSTR", Q56, V56) = 0, "", IF(F56="MSTR", Q56, V56))</f>
        <v/>
      </c>
      <c r="L56" s="31">
        <f xml:space="preserve"> IF(F56=Settings!$A$2, 1, IF(F56=Settings!$A$3, 2,  IF(F56=Settings!$A$4, 0, "")))</f>
        <v>1</v>
      </c>
      <c r="M56" s="5"/>
      <c r="N56" s="7"/>
      <c r="O56" s="6"/>
      <c r="P56" s="6" t="s">
        <v>99</v>
      </c>
      <c r="Q56" s="8"/>
      <c r="R56" s="9"/>
      <c r="S56" s="7"/>
      <c r="T56" s="7"/>
      <c r="U56" s="7"/>
      <c r="V56" s="8"/>
      <c r="W56" t="s">
        <v>196</v>
      </c>
    </row>
  </sheetData>
  <sheetProtection sheet="1" selectLockedCells="1" sort="0" autoFilter="0"/>
  <autoFilter ref="A8:V56" xr:uid="{00000000-0009-0000-0000-000000000000}">
    <sortState xmlns:xlrd2="http://schemas.microsoft.com/office/spreadsheetml/2017/richdata2" ref="A9:V56">
      <sortCondition ref="A8:A56"/>
    </sortState>
  </autoFilter>
  <dataConsolidate/>
  <mergeCells count="8">
    <mergeCell ref="B2:D2"/>
    <mergeCell ref="A7:D7"/>
    <mergeCell ref="G7:K7"/>
    <mergeCell ref="M7:Q7"/>
    <mergeCell ref="R7:V7"/>
    <mergeCell ref="B3:D3"/>
    <mergeCell ref="B4:D4"/>
    <mergeCell ref="B5:D5"/>
  </mergeCells>
  <conditionalFormatting sqref="L12">
    <cfRule type="iconSet" priority="133">
      <iconSet>
        <cfvo type="percent" val="0"/>
        <cfvo type="num" val="1"/>
        <cfvo type="num" val="2"/>
      </iconSet>
    </cfRule>
  </conditionalFormatting>
  <conditionalFormatting sqref="L27">
    <cfRule type="iconSet" priority="124">
      <iconSet>
        <cfvo type="percent" val="0"/>
        <cfvo type="num" val="0"/>
        <cfvo type="num" val="1"/>
      </iconSet>
    </cfRule>
  </conditionalFormatting>
  <conditionalFormatting sqref="L16">
    <cfRule type="iconSet" priority="70">
      <iconSet>
        <cfvo type="percent" val="0"/>
        <cfvo type="num" val="1"/>
        <cfvo type="num" val="2"/>
      </iconSet>
    </cfRule>
  </conditionalFormatting>
  <conditionalFormatting sqref="L19">
    <cfRule type="iconSet" priority="69">
      <iconSet>
        <cfvo type="percent" val="0"/>
        <cfvo type="num" val="1"/>
        <cfvo type="num" val="2"/>
      </iconSet>
    </cfRule>
  </conditionalFormatting>
  <conditionalFormatting sqref="L20">
    <cfRule type="iconSet" priority="68">
      <iconSet>
        <cfvo type="percent" val="0"/>
        <cfvo type="num" val="1"/>
        <cfvo type="num" val="2"/>
      </iconSet>
    </cfRule>
  </conditionalFormatting>
  <conditionalFormatting sqref="L21">
    <cfRule type="iconSet" priority="67">
      <iconSet>
        <cfvo type="percent" val="0"/>
        <cfvo type="num" val="1"/>
        <cfvo type="num" val="2"/>
      </iconSet>
    </cfRule>
  </conditionalFormatting>
  <conditionalFormatting sqref="L22">
    <cfRule type="iconSet" priority="66">
      <iconSet>
        <cfvo type="percent" val="0"/>
        <cfvo type="num" val="1"/>
        <cfvo type="num" val="2"/>
      </iconSet>
    </cfRule>
  </conditionalFormatting>
  <conditionalFormatting sqref="L23">
    <cfRule type="iconSet" priority="65">
      <iconSet>
        <cfvo type="percent" val="0"/>
        <cfvo type="num" val="1"/>
        <cfvo type="num" val="2"/>
      </iconSet>
    </cfRule>
  </conditionalFormatting>
  <conditionalFormatting sqref="L24">
    <cfRule type="iconSet" priority="64">
      <iconSet>
        <cfvo type="percent" val="0"/>
        <cfvo type="num" val="1"/>
        <cfvo type="num" val="2"/>
      </iconSet>
    </cfRule>
  </conditionalFormatting>
  <conditionalFormatting sqref="L29">
    <cfRule type="iconSet" priority="61">
      <iconSet>
        <cfvo type="percent" val="0"/>
        <cfvo type="num" val="1"/>
        <cfvo type="num" val="2"/>
      </iconSet>
    </cfRule>
  </conditionalFormatting>
  <conditionalFormatting sqref="L30">
    <cfRule type="iconSet" priority="60">
      <iconSet>
        <cfvo type="percent" val="0"/>
        <cfvo type="num" val="1"/>
        <cfvo type="num" val="2"/>
      </iconSet>
    </cfRule>
  </conditionalFormatting>
  <conditionalFormatting sqref="L31">
    <cfRule type="iconSet" priority="59">
      <iconSet>
        <cfvo type="percent" val="0"/>
        <cfvo type="num" val="1"/>
        <cfvo type="num" val="2"/>
      </iconSet>
    </cfRule>
  </conditionalFormatting>
  <conditionalFormatting sqref="L32">
    <cfRule type="iconSet" priority="58">
      <iconSet>
        <cfvo type="percent" val="0"/>
        <cfvo type="num" val="1"/>
        <cfvo type="num" val="2"/>
      </iconSet>
    </cfRule>
  </conditionalFormatting>
  <conditionalFormatting sqref="L37">
    <cfRule type="iconSet" priority="55">
      <iconSet>
        <cfvo type="percent" val="0"/>
        <cfvo type="num" val="1"/>
        <cfvo type="num" val="2"/>
      </iconSet>
    </cfRule>
  </conditionalFormatting>
  <conditionalFormatting sqref="L38">
    <cfRule type="iconSet" priority="54">
      <iconSet>
        <cfvo type="percent" val="0"/>
        <cfvo type="num" val="1"/>
        <cfvo type="num" val="2"/>
      </iconSet>
    </cfRule>
  </conditionalFormatting>
  <conditionalFormatting sqref="L39">
    <cfRule type="iconSet" priority="53">
      <iconSet>
        <cfvo type="percent" val="0"/>
        <cfvo type="num" val="1"/>
        <cfvo type="num" val="2"/>
      </iconSet>
    </cfRule>
  </conditionalFormatting>
  <conditionalFormatting sqref="L41">
    <cfRule type="iconSet" priority="51">
      <iconSet>
        <cfvo type="percent" val="0"/>
        <cfvo type="num" val="1"/>
        <cfvo type="num" val="2"/>
      </iconSet>
    </cfRule>
  </conditionalFormatting>
  <conditionalFormatting sqref="L42">
    <cfRule type="iconSet" priority="50">
      <iconSet>
        <cfvo type="percent" val="0"/>
        <cfvo type="num" val="1"/>
        <cfvo type="num" val="2"/>
      </iconSet>
    </cfRule>
  </conditionalFormatting>
  <conditionalFormatting sqref="L43">
    <cfRule type="iconSet" priority="49">
      <iconSet>
        <cfvo type="percent" val="0"/>
        <cfvo type="num" val="1"/>
        <cfvo type="num" val="2"/>
      </iconSet>
    </cfRule>
  </conditionalFormatting>
  <conditionalFormatting sqref="L44">
    <cfRule type="iconSet" priority="48">
      <iconSet>
        <cfvo type="percent" val="0"/>
        <cfvo type="num" val="1"/>
        <cfvo type="num" val="2"/>
      </iconSet>
    </cfRule>
  </conditionalFormatting>
  <conditionalFormatting sqref="L45">
    <cfRule type="iconSet" priority="47">
      <iconSet>
        <cfvo type="percent" val="0"/>
        <cfvo type="num" val="1"/>
        <cfvo type="num" val="2"/>
      </iconSet>
    </cfRule>
  </conditionalFormatting>
  <conditionalFormatting sqref="L46">
    <cfRule type="iconSet" priority="46">
      <iconSet>
        <cfvo type="percent" val="0"/>
        <cfvo type="num" val="1"/>
        <cfvo type="num" val="2"/>
      </iconSet>
    </cfRule>
  </conditionalFormatting>
  <conditionalFormatting sqref="L47">
    <cfRule type="iconSet" priority="45">
      <iconSet>
        <cfvo type="percent" val="0"/>
        <cfvo type="num" val="1"/>
        <cfvo type="num" val="2"/>
      </iconSet>
    </cfRule>
  </conditionalFormatting>
  <conditionalFormatting sqref="L50">
    <cfRule type="iconSet" priority="44">
      <iconSet>
        <cfvo type="percent" val="0"/>
        <cfvo type="num" val="1"/>
        <cfvo type="num" val="2"/>
      </iconSet>
    </cfRule>
  </conditionalFormatting>
  <conditionalFormatting sqref="L54">
    <cfRule type="iconSet" priority="40">
      <iconSet>
        <cfvo type="percent" val="0"/>
        <cfvo type="num" val="1"/>
        <cfvo type="num" val="2"/>
      </iconSet>
    </cfRule>
  </conditionalFormatting>
  <conditionalFormatting sqref="L56">
    <cfRule type="iconSet" priority="23">
      <iconSet>
        <cfvo type="percent" val="0"/>
        <cfvo type="num" val="1"/>
        <cfvo type="num" val="2"/>
      </iconSet>
    </cfRule>
  </conditionalFormatting>
  <conditionalFormatting sqref="L55">
    <cfRule type="iconSet" priority="22">
      <iconSet>
        <cfvo type="percent" val="0"/>
        <cfvo type="num" val="1"/>
        <cfvo type="num" val="2"/>
      </iconSet>
    </cfRule>
  </conditionalFormatting>
  <conditionalFormatting sqref="L53">
    <cfRule type="iconSet" priority="21">
      <iconSet>
        <cfvo type="percent" val="0"/>
        <cfvo type="num" val="1"/>
        <cfvo type="num" val="2"/>
      </iconSet>
    </cfRule>
  </conditionalFormatting>
  <conditionalFormatting sqref="L52">
    <cfRule type="iconSet" priority="20">
      <iconSet>
        <cfvo type="percent" val="0"/>
        <cfvo type="num" val="1"/>
        <cfvo type="num" val="2"/>
      </iconSet>
    </cfRule>
  </conditionalFormatting>
  <conditionalFormatting sqref="L51">
    <cfRule type="iconSet" priority="19">
      <iconSet>
        <cfvo type="percent" val="0"/>
        <cfvo type="num" val="1"/>
        <cfvo type="num" val="2"/>
      </iconSet>
    </cfRule>
  </conditionalFormatting>
  <conditionalFormatting sqref="L40">
    <cfRule type="iconSet" priority="18">
      <iconSet>
        <cfvo type="percent" val="0"/>
        <cfvo type="num" val="1"/>
        <cfvo type="num" val="2"/>
      </iconSet>
    </cfRule>
  </conditionalFormatting>
  <conditionalFormatting sqref="L36">
    <cfRule type="iconSet" priority="17">
      <iconSet>
        <cfvo type="percent" val="0"/>
        <cfvo type="num" val="1"/>
        <cfvo type="num" val="2"/>
      </iconSet>
    </cfRule>
  </conditionalFormatting>
  <conditionalFormatting sqref="L35">
    <cfRule type="iconSet" priority="16">
      <iconSet>
        <cfvo type="percent" val="0"/>
        <cfvo type="num" val="1"/>
        <cfvo type="num" val="2"/>
      </iconSet>
    </cfRule>
  </conditionalFormatting>
  <conditionalFormatting sqref="L33">
    <cfRule type="iconSet" priority="15">
      <iconSet>
        <cfvo type="percent" val="0"/>
        <cfvo type="num" val="1"/>
        <cfvo type="num" val="2"/>
      </iconSet>
    </cfRule>
  </conditionalFormatting>
  <conditionalFormatting sqref="L25">
    <cfRule type="iconSet" priority="14">
      <iconSet>
        <cfvo type="percent" val="0"/>
        <cfvo type="num" val="1"/>
        <cfvo type="num" val="2"/>
      </iconSet>
    </cfRule>
  </conditionalFormatting>
  <conditionalFormatting sqref="L26">
    <cfRule type="iconSet" priority="13">
      <iconSet>
        <cfvo type="percent" val="0"/>
        <cfvo type="num" val="1"/>
        <cfvo type="num" val="2"/>
      </iconSet>
    </cfRule>
  </conditionalFormatting>
  <conditionalFormatting sqref="L13">
    <cfRule type="iconSet" priority="12">
      <iconSet>
        <cfvo type="percent" val="0"/>
        <cfvo type="num" val="1"/>
        <cfvo type="num" val="2"/>
      </iconSet>
    </cfRule>
  </conditionalFormatting>
  <conditionalFormatting sqref="L14">
    <cfRule type="iconSet" priority="11">
      <iconSet>
        <cfvo type="percent" val="0"/>
        <cfvo type="num" val="1"/>
        <cfvo type="num" val="2"/>
      </iconSet>
    </cfRule>
  </conditionalFormatting>
  <conditionalFormatting sqref="L9">
    <cfRule type="iconSet" priority="10">
      <iconSet>
        <cfvo type="percent" val="0"/>
        <cfvo type="num" val="1"/>
        <cfvo type="num" val="2"/>
      </iconSet>
    </cfRule>
  </conditionalFormatting>
  <conditionalFormatting sqref="L10">
    <cfRule type="iconSet" priority="9">
      <iconSet>
        <cfvo type="percent" val="0"/>
        <cfvo type="num" val="1"/>
        <cfvo type="num" val="2"/>
      </iconSet>
    </cfRule>
  </conditionalFormatting>
  <conditionalFormatting sqref="L15">
    <cfRule type="iconSet" priority="8">
      <iconSet>
        <cfvo type="percent" val="0"/>
        <cfvo type="num" val="1"/>
        <cfvo type="num" val="2"/>
      </iconSet>
    </cfRule>
  </conditionalFormatting>
  <conditionalFormatting sqref="L17">
    <cfRule type="iconSet" priority="7">
      <iconSet>
        <cfvo type="percent" val="0"/>
        <cfvo type="num" val="1"/>
        <cfvo type="num" val="2"/>
      </iconSet>
    </cfRule>
  </conditionalFormatting>
  <conditionalFormatting sqref="L18">
    <cfRule type="iconSet" priority="6">
      <iconSet>
        <cfvo type="percent" val="0"/>
        <cfvo type="num" val="1"/>
        <cfvo type="num" val="2"/>
      </iconSet>
    </cfRule>
  </conditionalFormatting>
  <conditionalFormatting sqref="L28">
    <cfRule type="iconSet" priority="5">
      <iconSet>
        <cfvo type="percent" val="0"/>
        <cfvo type="num" val="1"/>
        <cfvo type="num" val="2"/>
      </iconSet>
    </cfRule>
  </conditionalFormatting>
  <conditionalFormatting sqref="L34">
    <cfRule type="iconSet" priority="4">
      <iconSet>
        <cfvo type="percent" val="0"/>
        <cfvo type="num" val="1"/>
        <cfvo type="num" val="2"/>
      </iconSet>
    </cfRule>
  </conditionalFormatting>
  <conditionalFormatting sqref="L48">
    <cfRule type="iconSet" priority="3">
      <iconSet>
        <cfvo type="percent" val="0"/>
        <cfvo type="num" val="1"/>
        <cfvo type="num" val="2"/>
      </iconSet>
    </cfRule>
  </conditionalFormatting>
  <conditionalFormatting sqref="L49">
    <cfRule type="iconSet" priority="2">
      <iconSet>
        <cfvo type="percent" val="0"/>
        <cfvo type="num" val="1"/>
        <cfvo type="num" val="2"/>
      </iconSet>
    </cfRule>
  </conditionalFormatting>
  <conditionalFormatting sqref="L11">
    <cfRule type="iconSet" priority="1">
      <iconSet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reateHeader">
                <anchor moveWithCells="1" sizeWithCells="1">
                  <from>
                    <xdr:col>4</xdr:col>
                    <xdr:colOff>285750</xdr:colOff>
                    <xdr:row>0</xdr:row>
                    <xdr:rowOff>161925</xdr:rowOff>
                  </from>
                  <to>
                    <xdr:col>5</xdr:col>
                    <xdr:colOff>495300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A28AE0A-86C8-44CE-810F-DE3DD4B5D9BA}">
          <x14:formula1>
            <xm:f>Settings!$A$2:$A$4</xm:f>
          </x14:formula1>
          <xm:sqref>F9:F56</xm:sqref>
        </x14:dataValidation>
        <x14:dataValidation type="list" showInputMessage="1" showErrorMessage="1" xr:uid="{9B62CFD5-4B50-42CF-8CD9-65227A1BA6D8}">
          <x14:formula1>
            <xm:f>Settings!$C$2:$C$3</xm:f>
          </x14:formula1>
          <xm:sqref>B2:D2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43937-0917-4E12-9990-6E13AE777173}">
  <sheetPr codeName="Sheet3"/>
  <dimension ref="A1:B3"/>
  <sheetViews>
    <sheetView workbookViewId="0">
      <selection activeCell="B6" sqref="B6"/>
    </sheetView>
  </sheetViews>
  <sheetFormatPr defaultRowHeight="15" x14ac:dyDescent="0.25"/>
  <cols>
    <col min="1" max="2" width="18.140625" customWidth="1"/>
  </cols>
  <sheetData>
    <row r="1" spans="1:2" s="35" customFormat="1" x14ac:dyDescent="0.25">
      <c r="A1" s="35" t="s">
        <v>120</v>
      </c>
      <c r="B1" s="35" t="s">
        <v>121</v>
      </c>
    </row>
    <row r="2" spans="1:2" x14ac:dyDescent="0.25">
      <c r="A2" t="s">
        <v>122</v>
      </c>
      <c r="B2" s="36">
        <v>0</v>
      </c>
    </row>
    <row r="3" spans="1:2" x14ac:dyDescent="0.25">
      <c r="A3" t="s">
        <v>123</v>
      </c>
      <c r="B3" s="36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15D43E-3D82-40D3-87DD-9F1E469F0B03}">
  <sheetPr codeName="Sheet4"/>
  <dimension ref="A1:C4"/>
  <sheetViews>
    <sheetView workbookViewId="0">
      <selection activeCell="A5" sqref="A5"/>
    </sheetView>
  </sheetViews>
  <sheetFormatPr defaultRowHeight="15" x14ac:dyDescent="0.25"/>
  <cols>
    <col min="1" max="1" width="19.140625" bestFit="1" customWidth="1"/>
    <col min="3" max="3" width="27.140625" customWidth="1"/>
  </cols>
  <sheetData>
    <row r="1" spans="1:3" x14ac:dyDescent="0.25">
      <c r="A1" s="13" t="s">
        <v>109</v>
      </c>
      <c r="C1" s="13" t="s">
        <v>125</v>
      </c>
    </row>
    <row r="2" spans="1:3" x14ac:dyDescent="0.25">
      <c r="A2" s="12" t="s">
        <v>110</v>
      </c>
      <c r="C2" s="12" t="s">
        <v>126</v>
      </c>
    </row>
    <row r="3" spans="1:3" x14ac:dyDescent="0.25">
      <c r="A3" s="12" t="s">
        <v>111</v>
      </c>
      <c r="C3" s="12" t="s">
        <v>127</v>
      </c>
    </row>
    <row r="4" spans="1:3" x14ac:dyDescent="0.25">
      <c r="A4" s="12" t="s">
        <v>113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dsPIC33CKxxMP505</vt:lpstr>
      <vt:lpstr>Default Labels</vt:lpstr>
      <vt:lpstr>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Andreas Reiter - M91406</dc:creator>
  <cp:lastModifiedBy>Andreas Reiter - M91406</cp:lastModifiedBy>
  <dcterms:created xsi:type="dcterms:W3CDTF">2019-02-01T14:39:03Z</dcterms:created>
  <dcterms:modified xsi:type="dcterms:W3CDTF">2019-05-21T23:47:38Z</dcterms:modified>
</cp:coreProperties>
</file>